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F0733D89-1959-4727-BD2F-35E3271A283C}" xr6:coauthVersionLast="47" xr6:coauthVersionMax="47" xr10:uidLastSave="{00000000-0000-0000-0000-000000000000}"/>
  <bookViews>
    <workbookView xWindow="-108" yWindow="-108" windowWidth="23256" windowHeight="12456" tabRatio="87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9" l="1"/>
  <c r="D8" i="19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L28" i="20" a="1"/>
  <c r="L28" i="20" s="1"/>
  <c r="L29" i="20" a="1"/>
  <c r="L29" i="20"/>
  <c r="L30" i="20" a="1"/>
  <c r="L30" i="20"/>
  <c r="L31" i="20" a="1"/>
  <c r="L31" i="20"/>
  <c r="L32" i="20" a="1"/>
  <c r="L32" i="20" s="1"/>
  <c r="L33" i="20" a="1"/>
  <c r="L33" i="20"/>
  <c r="L34" i="20" a="1"/>
  <c r="L34" i="20"/>
  <c r="L35" i="20" a="1"/>
  <c r="L35" i="20"/>
  <c r="L36" i="20" a="1"/>
  <c r="L36" i="20" s="1"/>
  <c r="L37" i="20" a="1"/>
  <c r="L37" i="20"/>
  <c r="L38" i="20" a="1"/>
  <c r="L38" i="20"/>
  <c r="L27" i="20" a="1"/>
  <c r="L27" i="20" s="1"/>
  <c r="K30" i="20"/>
  <c r="K31" i="20"/>
  <c r="K32" i="20"/>
  <c r="K33" i="20"/>
  <c r="K35" i="20"/>
  <c r="K36" i="20"/>
  <c r="K37" i="20"/>
  <c r="K38" i="20"/>
  <c r="J28" i="20"/>
  <c r="K28" i="20" s="1"/>
  <c r="J29" i="20"/>
  <c r="K29" i="20" s="1"/>
  <c r="J30" i="20"/>
  <c r="J31" i="20"/>
  <c r="J32" i="20"/>
  <c r="J33" i="20"/>
  <c r="J34" i="20"/>
  <c r="K34" i="20" s="1"/>
  <c r="J35" i="20"/>
  <c r="J36" i="20"/>
  <c r="J37" i="20"/>
  <c r="J38" i="20"/>
  <c r="J27" i="20"/>
  <c r="K27" i="20" s="1"/>
  <c r="G28" i="20"/>
  <c r="G31" i="20"/>
  <c r="G33" i="20"/>
  <c r="G38" i="20"/>
  <c r="E28" i="20"/>
  <c r="E29" i="20"/>
  <c r="E30" i="20"/>
  <c r="E31" i="20"/>
  <c r="E32" i="20"/>
  <c r="E33" i="20"/>
  <c r="E34" i="20"/>
  <c r="E35" i="20"/>
  <c r="E36" i="20"/>
  <c r="E37" i="20"/>
  <c r="E38" i="20"/>
  <c r="E27" i="20"/>
  <c r="F27" i="20" a="1"/>
  <c r="F27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5" i="20" a="1"/>
  <c r="F35" i="20"/>
  <c r="F36" i="20" a="1"/>
  <c r="F36" i="20" s="1"/>
  <c r="F37" i="20" a="1"/>
  <c r="F37" i="20" s="1"/>
  <c r="F38" i="20" a="1"/>
  <c r="F38" i="20" s="1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D37" i="20"/>
  <c r="G37" i="20" s="1"/>
  <c r="D35" i="20"/>
  <c r="G35" i="20" s="1"/>
  <c r="D33" i="20"/>
  <c r="D31" i="20"/>
  <c r="D28" i="20"/>
  <c r="D29" i="20"/>
  <c r="G29" i="20" s="1"/>
  <c r="D30" i="20"/>
  <c r="G30" i="20" s="1"/>
  <c r="D32" i="20"/>
  <c r="G32" i="20" s="1"/>
  <c r="D34" i="20"/>
  <c r="G34" i="20" s="1"/>
  <c r="D36" i="20"/>
  <c r="G36" i="20" s="1"/>
  <c r="D38" i="20"/>
  <c r="D27" i="20"/>
  <c r="G27" i="20" s="1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K7" i="10" l="1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<sst xmlns="http://schemas.openxmlformats.org/spreadsheetml/2006/main" count="778" uniqueCount="209">
  <si>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</si>
  <si>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</si>
  <si>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</si>
  <si>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</si>
  <si>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</si>
  <si>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</si>
  <si>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</si>
  <si>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</si>
  <si>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</si>
  <si>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</si>
  <si>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</si>
  <si>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</si>
  <si>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</si>
  <si>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</si>
  <si>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</si>
  <si>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</si>
  <si>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</si>
  <si>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</si>
  <si>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</si>
  <si>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</si>
  <si>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</si>
  <si>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</si>
  <si>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</si>
  <si>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</si>
  <si>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</si>
  <si>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</si>
  <si>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</si>
  <si>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</si>
  <si>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</si>
  <si>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</si>
  <si>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</si>
  <si>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</si>
  <si>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</si>
  <si>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</si>
  <si>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</si>
  <si>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</si>
  <si>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</si>
  <si>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</si>
  <si>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</si>
  <si>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</si>
  <si>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</si>
  <si>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</si>
  <si>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</si>
  <si>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</si>
  <si>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</si>
  <si>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</si>
  <si>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</si>
  <si>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</si>
  <si>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</si>
  <si>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</si>
  <si>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</si>
  <si>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</si>
  <si>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</si>
  <si>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</si>
  <si>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</si>
  <si>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</si>
  <si>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</si>
  <si>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</si>
  <si>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</si>
  <si>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</si>
  <si>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</si>
  <si>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</si>
  <si>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</si>
  <si>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</si>
  <si>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</si>
  <si>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</si>
  <si>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</si>
  <si>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</si>
  <si>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</si>
  <si>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</si>
  <si>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</si>
  <si>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</si>
  <si>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</si>
  <si>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</si>
  <si>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</si>
  <si>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</si>
  <si>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</si>
  <si>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</si>
  <si>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</si>
  <si>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</si>
  <si>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</si>
  <si>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</si>
  <si>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</si>
  <si>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</si>
  <si>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</si>
  <si>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</si>
  <si>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</si>
  <si>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</si>
  <si>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</si>
  <si>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&gt;90</t>
  </si>
  <si>
    <t>Ex</t>
  </si>
  <si>
    <t>&gt;80</t>
  </si>
  <si>
    <t>VG</t>
  </si>
  <si>
    <t>&gt;70</t>
  </si>
  <si>
    <t>G</t>
  </si>
  <si>
    <t>&gt;60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</si>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</sst>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693420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175260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9</xdr:col>
      <xdr:colOff>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tabSelected="1" zoomScale="85" zoomScaleNormal="85" workbookViewId="0">
      <selection activeCell="D13" sqref="D13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108</v>
      </c>
    </row>
    <row r="4" spans="2:7" ht="18" x14ac:dyDescent="0.35">
      <c r="C4" s="38" t="s">
        <v>109</v>
      </c>
    </row>
    <row r="8" spans="2:7" ht="18" x14ac:dyDescent="0.35">
      <c r="B8" s="39" t="s">
        <v>205</v>
      </c>
      <c r="C8" s="41" t="s">
        <v>112</v>
      </c>
      <c r="D8" s="72">
        <f ca="1">TODAY()</f>
        <v>46294</v>
      </c>
      <c r="F8" s="38" t="s">
        <v>117</v>
      </c>
    </row>
    <row r="9" spans="2:7" ht="18" x14ac:dyDescent="0.35">
      <c r="B9" s="39" t="s">
        <v>206</v>
      </c>
      <c r="C9" s="41" t="s">
        <v>113</v>
      </c>
      <c r="D9" s="40">
        <f ca="1">NOW()</f>
        <v>46294.089271874996</v>
      </c>
    </row>
    <row r="12" spans="2:7" ht="18" x14ac:dyDescent="0.35">
      <c r="B12" s="39" t="s">
        <v>122</v>
      </c>
      <c r="C12" s="41" t="s">
        <v>114</v>
      </c>
      <c r="D12" s="39"/>
      <c r="F12" s="38" t="s">
        <v>110</v>
      </c>
      <c r="G12" s="71"/>
    </row>
    <row r="13" spans="2:7" ht="18" x14ac:dyDescent="0.35">
      <c r="B13" s="39" t="s">
        <v>123</v>
      </c>
      <c r="C13" s="41" t="s">
        <v>115</v>
      </c>
      <c r="D13" s="39"/>
    </row>
    <row r="14" spans="2:7" ht="18" x14ac:dyDescent="0.35">
      <c r="B14" s="39" t="s">
        <v>124</v>
      </c>
      <c r="C14" s="41" t="s">
        <v>116</v>
      </c>
      <c r="D14" s="39"/>
    </row>
    <row r="17" spans="2:9" ht="18" x14ac:dyDescent="0.35">
      <c r="B17" s="39" t="s">
        <v>121</v>
      </c>
      <c r="C17" s="41" t="s">
        <v>118</v>
      </c>
      <c r="D17" s="39"/>
      <c r="F17" s="38" t="s">
        <v>111</v>
      </c>
      <c r="H17" s="42">
        <v>46376</v>
      </c>
      <c r="I17" s="43" t="s">
        <v>120</v>
      </c>
    </row>
    <row r="18" spans="2:9" ht="18" x14ac:dyDescent="0.35">
      <c r="B18" s="39" t="s">
        <v>125</v>
      </c>
      <c r="C18" s="41" t="s">
        <v>127</v>
      </c>
      <c r="D18" s="39"/>
      <c r="H18" s="42">
        <v>45375</v>
      </c>
      <c r="I18" s="43" t="s">
        <v>119</v>
      </c>
    </row>
    <row r="19" spans="2:9" ht="28.8" x14ac:dyDescent="0.3">
      <c r="B19" s="44" t="s">
        <v>126</v>
      </c>
      <c r="C19" s="45" t="s">
        <v>128</v>
      </c>
      <c r="D19" s="44"/>
    </row>
    <row r="22" spans="2:9" ht="18" x14ac:dyDescent="0.35">
      <c r="B22" s="39" t="s">
        <v>130</v>
      </c>
      <c r="C22" s="41" t="s">
        <v>132</v>
      </c>
      <c r="D22" s="39"/>
      <c r="F22" s="38" t="s">
        <v>131</v>
      </c>
    </row>
    <row r="23" spans="2:9" ht="18" x14ac:dyDescent="0.35">
      <c r="B23" s="39" t="s">
        <v>129</v>
      </c>
      <c r="C23" s="41" t="s">
        <v>133</v>
      </c>
      <c r="D23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41" workbookViewId="0">
      <selection activeCell="E54" sqref="E54"/>
    </sheetView>
  </sheetViews>
  <sheetFormatPr defaultRowHeight="14.4" x14ac:dyDescent="0.3"/>
  <cols>
    <col min="1" max="1" width="3.33203125" customWidth="1"/>
    <col min="2" max="2" width="20.33203125" bestFit="1" customWidth="1"/>
    <col min="3" max="3" width="10.44140625" customWidth="1"/>
    <col min="4" max="4" width="18.21875" bestFit="1" customWidth="1"/>
    <col min="5" max="5" width="24.6640625" bestFit="1" customWidth="1"/>
    <col min="6" max="6" width="7.6640625" customWidth="1"/>
    <col min="7" max="7" width="23.33203125" bestFit="1" customWidth="1"/>
    <col min="8" max="8" width="14.5546875" customWidth="1"/>
    <col min="9" max="9" width="8" bestFit="1" customWidth="1"/>
    <col min="10" max="10" width="7.21875" bestFit="1" customWidth="1"/>
    <col min="11" max="11" width="12.109375" bestFit="1" customWidth="1"/>
    <col min="12" max="12" width="12.33203125" customWidth="1"/>
    <col min="13" max="13" width="12.109375" bestFit="1" customWidth="1"/>
  </cols>
  <sheetData>
    <row r="1" spans="1:18" s="1" customFormat="1" ht="23.4" x14ac:dyDescent="0.3">
      <c r="A1" s="89" t="s">
        <v>207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137</v>
      </c>
      <c r="G3" s="49" t="s">
        <v>138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139</v>
      </c>
      <c r="E26" s="28" t="s">
        <v>82</v>
      </c>
      <c r="F26" s="28" t="s">
        <v>83</v>
      </c>
      <c r="G26" s="28" t="s">
        <v>84</v>
      </c>
      <c r="H26" s="28" t="s">
        <v>134</v>
      </c>
      <c r="I26" s="46" t="s">
        <v>85</v>
      </c>
      <c r="J26" s="46" t="s">
        <v>135</v>
      </c>
      <c r="K26" s="46" t="s">
        <v>136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 t="e">
        <f>C27/0</f>
        <v>#DIV/0!</v>
      </c>
      <c r="E27" s="31" t="b">
        <f>IF(C27&gt;80,"Ex")</f>
        <v>0</v>
      </c>
      <c r="F27" s="32" t="str" cm="1">
        <f t="array" ref="F27">_xlfn.IFS(C27&gt;F4660,"faild",C27&gt;90,"ex",C27&gt;80,"vg",C27&gt;70,"g",C27&gt;60,"pass")</f>
        <v>faild</v>
      </c>
      <c r="G27" s="50" t="str">
        <f>IFERROR(D27,"its error")</f>
        <v>its error</v>
      </c>
      <c r="H27" s="32"/>
      <c r="I27" s="32"/>
      <c r="J27" s="32" t="b">
        <f>OR(C27&gt;80,C28&gt;80)</f>
        <v>1</v>
      </c>
      <c r="K27" s="32" t="b">
        <f>NOT(J27)</f>
        <v>0</v>
      </c>
      <c r="L27" s="32" t="str" cm="1">
        <f t="array" ref="L27">_xlfn.SWITCH(C27,60,"good",70,"ex",50,"right")</f>
        <v>good</v>
      </c>
      <c r="N27" s="33" t="s">
        <v>89</v>
      </c>
      <c r="O27" s="33" t="s">
        <v>90</v>
      </c>
    </row>
    <row r="28" spans="2:15" ht="18" x14ac:dyDescent="0.35">
      <c r="B28" s="29" t="s">
        <v>38</v>
      </c>
      <c r="C28" s="29">
        <v>81</v>
      </c>
      <c r="D28" s="55" t="e">
        <f>NA()</f>
        <v>#N/A</v>
      </c>
      <c r="E28" s="31" t="str">
        <f t="shared" ref="E28:E38" si="0">IF(C28&gt;80,"Ex")</f>
        <v>Ex</v>
      </c>
      <c r="F28" s="32" t="str" cm="1">
        <f t="array" ref="F28">_xlfn.IFS(C28&gt;60,"pass",C28&gt;90,"ex",C28&gt;80,"vg",C28&gt;70,"g",C28&lt;60,"faild")</f>
        <v>pass</v>
      </c>
      <c r="G28" s="50" t="str">
        <f t="shared" ref="G28:G38" si="1">IFERROR(D28,"its error")</f>
        <v>its error</v>
      </c>
      <c r="H28" s="32"/>
      <c r="I28" s="32"/>
      <c r="J28" s="32" t="b">
        <f t="shared" ref="J28:J38" si="2">OR(C28&gt;80,C29&gt;80)</f>
        <v>1</v>
      </c>
      <c r="K28" s="32" t="b">
        <f t="shared" ref="K28:K38" si="3">NOT(J28)</f>
        <v>0</v>
      </c>
      <c r="L28" s="32" t="e" cm="1">
        <f t="array" ref="L28">_xlfn.SWITCH(C28,60,"good",70,"ex",50,"right")</f>
        <v>#N/A</v>
      </c>
      <c r="N28" s="33" t="s">
        <v>91</v>
      </c>
      <c r="O28" s="33" t="s">
        <v>92</v>
      </c>
    </row>
    <row r="29" spans="2:15" ht="18" x14ac:dyDescent="0.35">
      <c r="B29" s="29" t="s">
        <v>57</v>
      </c>
      <c r="C29" s="29">
        <v>34</v>
      </c>
      <c r="D29" s="30" t="e">
        <f t="shared" ref="D29:D38" si="4">C29/0</f>
        <v>#DIV/0!</v>
      </c>
      <c r="E29" s="31" t="b">
        <f t="shared" si="0"/>
        <v>0</v>
      </c>
      <c r="F29" s="32" t="str" cm="1">
        <f t="array" ref="F29">_xlfn.IFS(C29&gt;90,"ex",C29&gt;80,"vg",C29&gt;70,"g",C29&gt;60,"pass",C29&lt;60,"faild")</f>
        <v>faild</v>
      </c>
      <c r="G29" s="50" t="str">
        <f t="shared" si="1"/>
        <v>its error</v>
      </c>
      <c r="H29" s="32"/>
      <c r="I29" s="32"/>
      <c r="J29" s="32" t="b">
        <f t="shared" si="2"/>
        <v>0</v>
      </c>
      <c r="K29" s="32" t="b">
        <f t="shared" si="3"/>
        <v>1</v>
      </c>
      <c r="L29" s="32" t="e" cm="1">
        <f t="array" ref="L29">_xlfn.SWITCH(C29,60,"good",70,"ex",50,"right")</f>
        <v>#N/A</v>
      </c>
      <c r="N29" s="33" t="s">
        <v>93</v>
      </c>
      <c r="O29" s="33" t="s">
        <v>94</v>
      </c>
    </row>
    <row r="30" spans="2:15" ht="18" x14ac:dyDescent="0.35">
      <c r="B30" s="29" t="s">
        <v>58</v>
      </c>
      <c r="C30" s="29">
        <v>76</v>
      </c>
      <c r="D30" s="30" t="e">
        <f t="shared" si="4"/>
        <v>#DIV/0!</v>
      </c>
      <c r="E30" s="31" t="b">
        <f t="shared" si="0"/>
        <v>0</v>
      </c>
      <c r="F30" s="32" t="str" cm="1">
        <f t="array" ref="F30">_xlfn.IFS(C30&gt;90,"ex",C30&gt;80,"vg",C30&gt;70,"g",C30&gt;60,"pass",C30&lt;60,"faild")</f>
        <v>g</v>
      </c>
      <c r="G30" s="50" t="str">
        <f t="shared" si="1"/>
        <v>its error</v>
      </c>
      <c r="H30" s="32"/>
      <c r="I30" s="32"/>
      <c r="J30" s="32" t="b">
        <f t="shared" si="2"/>
        <v>0</v>
      </c>
      <c r="K30" s="32" t="b">
        <f t="shared" si="3"/>
        <v>1</v>
      </c>
      <c r="L30" s="32" t="e" cm="1">
        <f t="array" ref="L30">_xlfn.SWITCH(C30,60,"good",70,"ex",50,"right")</f>
        <v>#N/A</v>
      </c>
      <c r="N30" s="33" t="s">
        <v>95</v>
      </c>
      <c r="O30" s="33" t="s">
        <v>96</v>
      </c>
    </row>
    <row r="31" spans="2:15" ht="18" x14ac:dyDescent="0.35">
      <c r="B31" s="29" t="s">
        <v>59</v>
      </c>
      <c r="C31" s="29">
        <v>64</v>
      </c>
      <c r="D31" s="55" t="e">
        <f>NA()</f>
        <v>#N/A</v>
      </c>
      <c r="E31" s="31" t="b">
        <f t="shared" si="0"/>
        <v>0</v>
      </c>
      <c r="F31" s="32" t="str" cm="1">
        <f t="array" ref="F31">_xlfn.IFS(C31&gt;90,"ex",C31&gt;80,"vg",C31&gt;70,"g",C31&gt;60,"pass",C31&lt;60,"faild")</f>
        <v>pass</v>
      </c>
      <c r="G31" s="50" t="str">
        <f t="shared" si="1"/>
        <v>its error</v>
      </c>
      <c r="H31" s="32"/>
      <c r="I31" s="32"/>
      <c r="J31" s="32" t="b">
        <f t="shared" si="2"/>
        <v>1</v>
      </c>
      <c r="K31" s="32" t="b">
        <f t="shared" si="3"/>
        <v>0</v>
      </c>
      <c r="L31" s="32" t="e" cm="1">
        <f t="array" ref="L31">_xlfn.SWITCH(C31,60,"good",70,"ex",50,"right")</f>
        <v>#N/A</v>
      </c>
      <c r="N31" s="33"/>
      <c r="O31" s="33" t="s">
        <v>97</v>
      </c>
    </row>
    <row r="32" spans="2:15" ht="18" x14ac:dyDescent="0.35">
      <c r="B32" s="29" t="s">
        <v>69</v>
      </c>
      <c r="C32" s="29">
        <v>95</v>
      </c>
      <c r="D32" s="30" t="e">
        <f t="shared" si="4"/>
        <v>#DIV/0!</v>
      </c>
      <c r="E32" s="31" t="str">
        <f t="shared" si="0"/>
        <v>Ex</v>
      </c>
      <c r="F32" s="32" t="str" cm="1">
        <f t="array" ref="F32">_xlfn.IFS(C32&gt;90,"ex",C32&gt;80,"vg",C32&gt;70,"g",C32&gt;60,"pass",C32&lt;60,"faild")</f>
        <v>ex</v>
      </c>
      <c r="G32" s="50" t="str">
        <f t="shared" si="1"/>
        <v>its error</v>
      </c>
      <c r="H32" s="32"/>
      <c r="I32" s="32"/>
      <c r="J32" s="32" t="b">
        <f t="shared" si="2"/>
        <v>1</v>
      </c>
      <c r="K32" s="32" t="b">
        <f t="shared" si="3"/>
        <v>0</v>
      </c>
      <c r="L32" s="32" t="e" cm="1">
        <f t="array" ref="L32">_xlfn.SWITCH(C32,60,"good",70,"ex",50,"right")</f>
        <v>#N/A</v>
      </c>
      <c r="N32" s="34"/>
      <c r="O32" s="34"/>
    </row>
    <row r="33" spans="2:15" ht="18" x14ac:dyDescent="0.35">
      <c r="B33" s="29" t="s">
        <v>98</v>
      </c>
      <c r="C33" s="29">
        <v>50</v>
      </c>
      <c r="D33" s="55" t="e">
        <f>NA()</f>
        <v>#N/A</v>
      </c>
      <c r="E33" s="31" t="b">
        <f t="shared" si="0"/>
        <v>0</v>
      </c>
      <c r="F33" s="32" t="str" cm="1">
        <f t="array" ref="F33">_xlfn.IFS(C33&gt;90,"ex",C33&gt;80,"vg",C33&gt;70,"g",C33&gt;60,"pass",C33&lt;60,"faild")</f>
        <v>faild</v>
      </c>
      <c r="G33" s="50" t="str">
        <f t="shared" si="1"/>
        <v>its error</v>
      </c>
      <c r="H33" s="32"/>
      <c r="I33" s="32"/>
      <c r="J33" s="32" t="b">
        <f t="shared" si="2"/>
        <v>1</v>
      </c>
      <c r="K33" s="32" t="b">
        <f t="shared" si="3"/>
        <v>0</v>
      </c>
      <c r="L33" s="32" t="str" cm="1">
        <f t="array" ref="L33">_xlfn.SWITCH(C33,60,"good",70,"ex",50,"right")</f>
        <v>right</v>
      </c>
      <c r="N33" s="35" t="s">
        <v>99</v>
      </c>
      <c r="O33" s="36">
        <v>0.12</v>
      </c>
    </row>
    <row r="34" spans="2:15" ht="18" x14ac:dyDescent="0.35">
      <c r="B34" s="29" t="s">
        <v>100</v>
      </c>
      <c r="C34" s="29">
        <v>87</v>
      </c>
      <c r="D34" s="30" t="e">
        <f t="shared" si="4"/>
        <v>#DIV/0!</v>
      </c>
      <c r="E34" s="31" t="str">
        <f t="shared" si="0"/>
        <v>Ex</v>
      </c>
      <c r="F34" s="32" t="str" cm="1">
        <f t="array" ref="F34">_xlfn.IFS(C34&gt;90,"ex",C34&gt;80,"vg",C34&gt;70,"g",C34&gt;60,"pass",C34&lt;60,"faild")</f>
        <v>vg</v>
      </c>
      <c r="G34" s="50" t="str">
        <f t="shared" si="1"/>
        <v>its error</v>
      </c>
      <c r="H34" s="32"/>
      <c r="I34" s="32"/>
      <c r="J34" s="32" t="b">
        <f t="shared" si="2"/>
        <v>1</v>
      </c>
      <c r="K34" s="32" t="b">
        <f t="shared" si="3"/>
        <v>0</v>
      </c>
      <c r="L34" s="32" t="e" cm="1">
        <f t="array" ref="L34">_xlfn.SWITCH(C34,60,"good",70,"ex",50,"right")</f>
        <v>#N/A</v>
      </c>
      <c r="N34" s="37" t="s">
        <v>101</v>
      </c>
      <c r="O34" s="36">
        <v>0.08</v>
      </c>
    </row>
    <row r="35" spans="2:15" ht="18" x14ac:dyDescent="0.35">
      <c r="B35" s="29" t="s">
        <v>102</v>
      </c>
      <c r="C35" s="29">
        <v>6</v>
      </c>
      <c r="D35" s="55" t="e">
        <f>NA()</f>
        <v>#N/A</v>
      </c>
      <c r="E35" s="31" t="b">
        <f t="shared" si="0"/>
        <v>0</v>
      </c>
      <c r="F35" s="32" t="str" cm="1">
        <f t="array" ref="F35">_xlfn.IFS(C35&gt;90,"ex",C35&gt;80,"vg",C35&gt;70,"g",C35&gt;60,"pass",C35&lt;60,"faild")</f>
        <v>faild</v>
      </c>
      <c r="G35" s="50" t="str">
        <f t="shared" si="1"/>
        <v>its error</v>
      </c>
      <c r="H35" s="32"/>
      <c r="I35" s="32"/>
      <c r="J35" s="32" t="b">
        <f t="shared" si="2"/>
        <v>0</v>
      </c>
      <c r="K35" s="32" t="b">
        <f t="shared" si="3"/>
        <v>1</v>
      </c>
      <c r="L35" s="32" t="e" cm="1">
        <f t="array" ref="L35">_xlfn.SWITCH(C35,60,"good",70,"ex",50,"right")</f>
        <v>#N/A</v>
      </c>
      <c r="N35" s="37" t="s">
        <v>103</v>
      </c>
      <c r="O35" s="36">
        <v>0.05</v>
      </c>
    </row>
    <row r="36" spans="2:15" ht="18" x14ac:dyDescent="0.35">
      <c r="B36" s="29" t="s">
        <v>104</v>
      </c>
      <c r="C36" s="29">
        <v>66</v>
      </c>
      <c r="D36" s="30" t="e">
        <f t="shared" si="4"/>
        <v>#DIV/0!</v>
      </c>
      <c r="E36" s="31" t="b">
        <f t="shared" si="0"/>
        <v>0</v>
      </c>
      <c r="F36" s="32" t="str" cm="1">
        <f t="array" ref="F36">_xlfn.IFS(C36&gt;90,"ex",C36&gt;80,"vg",C36&gt;70,"g",C36&gt;60,"pass",C36&lt;60,"faild")</f>
        <v>pass</v>
      </c>
      <c r="G36" s="50" t="str">
        <f t="shared" si="1"/>
        <v>its error</v>
      </c>
      <c r="H36" s="32"/>
      <c r="I36" s="32"/>
      <c r="J36" s="32" t="b">
        <f t="shared" si="2"/>
        <v>0</v>
      </c>
      <c r="K36" s="32" t="b">
        <f t="shared" si="3"/>
        <v>1</v>
      </c>
      <c r="L36" s="32" t="e" cm="1">
        <f t="array" ref="L36">_xlfn.SWITCH(C36,60,"good",70,"ex",50,"right")</f>
        <v>#N/A</v>
      </c>
      <c r="N36" s="37" t="s">
        <v>105</v>
      </c>
      <c r="O36" s="36">
        <v>0.03</v>
      </c>
    </row>
    <row r="37" spans="2:15" ht="18" x14ac:dyDescent="0.35">
      <c r="B37" s="29" t="s">
        <v>106</v>
      </c>
      <c r="C37" s="29">
        <v>30</v>
      </c>
      <c r="D37" s="55" t="e">
        <f>NA()</f>
        <v>#N/A</v>
      </c>
      <c r="E37" s="31" t="b">
        <f t="shared" si="0"/>
        <v>0</v>
      </c>
      <c r="F37" s="32" t="str" cm="1">
        <f t="array" ref="F37">_xlfn.IFS(C37&gt;90,"ex",C37&gt;80,"vg",C37&gt;70,"g",C37&gt;60,"pass",C37&lt;60,"faild")</f>
        <v>faild</v>
      </c>
      <c r="G37" s="50" t="str">
        <f t="shared" si="1"/>
        <v>its error</v>
      </c>
      <c r="H37" s="32"/>
      <c r="I37" s="32"/>
      <c r="J37" s="32" t="b">
        <f t="shared" si="2"/>
        <v>0</v>
      </c>
      <c r="K37" s="32" t="b">
        <f t="shared" si="3"/>
        <v>1</v>
      </c>
      <c r="L37" s="32" t="e" cm="1">
        <f t="array" ref="L37">_xlfn.SWITCH(C37,60,"good",70,"ex",50,"right")</f>
        <v>#N/A</v>
      </c>
    </row>
    <row r="38" spans="2:15" ht="18" x14ac:dyDescent="0.35">
      <c r="B38" s="29" t="s">
        <v>107</v>
      </c>
      <c r="C38" s="29">
        <v>73</v>
      </c>
      <c r="D38" s="30" t="e">
        <f t="shared" si="4"/>
        <v>#DIV/0!</v>
      </c>
      <c r="E38" s="31" t="b">
        <f t="shared" si="0"/>
        <v>0</v>
      </c>
      <c r="F38" s="32" t="str" cm="1">
        <f t="array" ref="F38">_xlfn.IFS(C38&gt;90,"ex",C38&gt;80,"vg",C38&gt;70,"g",C38&gt;60,"pass",C38&lt;60,"faild")</f>
        <v>g</v>
      </c>
      <c r="G38" s="50" t="str">
        <f t="shared" si="1"/>
        <v>its error</v>
      </c>
      <c r="H38" s="32"/>
      <c r="I38" s="32"/>
      <c r="J38" s="32" t="b">
        <f t="shared" si="2"/>
        <v>0</v>
      </c>
      <c r="K38" s="32" t="b">
        <f t="shared" si="3"/>
        <v>1</v>
      </c>
      <c r="L38" s="32" t="e" cm="1">
        <f t="array" ref="L38">_xlfn.SWITCH(C38,60,"good",70,"ex",50,"right")</f>
        <v>#N/A</v>
      </c>
    </row>
    <row r="46" spans="2:15" ht="18" x14ac:dyDescent="0.35">
      <c r="B46" s="38" t="s">
        <v>140</v>
      </c>
    </row>
    <row r="48" spans="2:15" ht="18" x14ac:dyDescent="0.3">
      <c r="C48" s="51" t="s">
        <v>139</v>
      </c>
      <c r="D48" s="51" t="s">
        <v>149</v>
      </c>
      <c r="E48" s="51" t="s">
        <v>150</v>
      </c>
    </row>
    <row r="49" spans="3:5" ht="22.8" customHeight="1" x14ac:dyDescent="0.3">
      <c r="C49" s="54" t="e">
        <v>#DIV/0!</v>
      </c>
      <c r="D49" s="52" t="s">
        <v>141</v>
      </c>
      <c r="E49" s="52" t="s">
        <v>148</v>
      </c>
    </row>
    <row r="50" spans="3:5" ht="25.2" customHeight="1" x14ac:dyDescent="0.3">
      <c r="C50" s="54" t="e">
        <v>#VALUE!</v>
      </c>
      <c r="D50" s="52" t="s">
        <v>142</v>
      </c>
      <c r="E50" s="52" t="s">
        <v>146</v>
      </c>
    </row>
    <row r="51" spans="3:5" ht="29.4" customHeight="1" x14ac:dyDescent="0.3">
      <c r="C51" s="54" t="e">
        <v>#NAME?</v>
      </c>
      <c r="D51" s="52" t="s">
        <v>143</v>
      </c>
      <c r="E51" s="52" t="s">
        <v>147</v>
      </c>
    </row>
    <row r="52" spans="3:5" ht="34.200000000000003" customHeight="1" x14ac:dyDescent="0.3">
      <c r="C52" s="54" t="e">
        <v>#REF!</v>
      </c>
      <c r="D52" s="52" t="s">
        <v>144</v>
      </c>
      <c r="E52" s="52" t="s">
        <v>151</v>
      </c>
    </row>
    <row r="53" spans="3:5" ht="28.8" x14ac:dyDescent="0.3">
      <c r="C53" s="54" t="e">
        <v>#N/A</v>
      </c>
      <c r="D53" s="53" t="s">
        <v>152</v>
      </c>
      <c r="E53" s="52" t="s">
        <v>153</v>
      </c>
    </row>
    <row r="54" spans="3:5" ht="33" customHeight="1" x14ac:dyDescent="0.3">
      <c r="C54" s="54" t="e">
        <v>#NUM!</v>
      </c>
      <c r="D54" s="52" t="s">
        <v>145</v>
      </c>
      <c r="E54" s="52" t="s">
        <v>154</v>
      </c>
    </row>
    <row r="55" spans="3:5" ht="43.2" x14ac:dyDescent="0.3">
      <c r="C55" s="54" t="e">
        <v>#NULL!</v>
      </c>
      <c r="D55" s="53" t="s">
        <v>155</v>
      </c>
      <c r="E55" s="52" t="s">
        <v>156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178</v>
      </c>
      <c r="M16" s="100" t="s">
        <v>179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158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160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161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159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162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164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180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163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181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182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159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180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163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181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183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165</v>
      </c>
      <c r="I21" s="102"/>
      <c r="J21" s="102"/>
      <c r="K21" s="102"/>
    </row>
    <row r="22" spans="1:11" ht="18" x14ac:dyDescent="0.3">
      <c r="H22" s="102" t="s">
        <v>166</v>
      </c>
      <c r="I22" s="102"/>
      <c r="J22" s="102"/>
      <c r="K22" s="102"/>
    </row>
    <row r="23" spans="1:11" ht="18" x14ac:dyDescent="0.3">
      <c r="H23" s="102" t="s">
        <v>167</v>
      </c>
      <c r="I23" s="102"/>
      <c r="J23" s="102"/>
      <c r="K23" s="102"/>
    </row>
    <row r="24" spans="1:11" ht="18" x14ac:dyDescent="0.3">
      <c r="H24" s="102" t="s">
        <v>168</v>
      </c>
      <c r="I24" s="102"/>
      <c r="J24" s="102"/>
      <c r="K24" s="102"/>
    </row>
    <row r="28" spans="1:11" ht="15.6" customHeight="1" x14ac:dyDescent="0.3">
      <c r="E28" s="92" t="s">
        <v>182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170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171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172</v>
      </c>
      <c r="L7" s="73" t="s">
        <v>184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173</v>
      </c>
      <c r="L9" s="74" t="s">
        <v>188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174</v>
      </c>
      <c r="L11" s="73" t="s">
        <v>189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175</v>
      </c>
      <c r="L13" s="73" t="s">
        <v>185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176</v>
      </c>
      <c r="L15" s="73" t="s">
        <v>186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177</v>
      </c>
      <c r="L17" s="73" t="s">
        <v>187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190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170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171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172</v>
      </c>
      <c r="L39" s="73" t="s">
        <v>184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173</v>
      </c>
      <c r="L41" s="74" t="s">
        <v>188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174</v>
      </c>
      <c r="L43" s="73" t="s">
        <v>189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175</v>
      </c>
      <c r="L45" s="73" t="s">
        <v>185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176</v>
      </c>
      <c r="L47" s="73" t="s">
        <v>186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177</v>
      </c>
      <c r="L49" s="73" t="s">
        <v>187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191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192</v>
      </c>
      <c r="K66" s="83"/>
      <c r="M66" s="77" t="s">
        <v>193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194</v>
      </c>
      <c r="N68" s="78"/>
    </row>
    <row r="70" spans="10:14" ht="18" x14ac:dyDescent="0.3">
      <c r="M70" s="77" t="s">
        <v>195</v>
      </c>
      <c r="N70" s="78"/>
    </row>
    <row r="72" spans="10:14" ht="18" x14ac:dyDescent="0.3">
      <c r="M72" s="77" t="s">
        <v>196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202</v>
      </c>
      <c r="E5" s="70">
        <f>ROUND(E2,2)</f>
        <v>12.44</v>
      </c>
    </row>
    <row r="6" spans="4:5" ht="18" x14ac:dyDescent="0.35">
      <c r="D6" s="68" t="s">
        <v>203</v>
      </c>
      <c r="E6" s="70">
        <f>ROUNDUP(E2,1)</f>
        <v>12.5</v>
      </c>
    </row>
    <row r="7" spans="4:5" ht="18" x14ac:dyDescent="0.35">
      <c r="D7" s="68" t="s">
        <v>204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199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200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198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201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2026-09-28T23:08:34Z</dcterms:modified>
</cp:coreProperties>
</file>
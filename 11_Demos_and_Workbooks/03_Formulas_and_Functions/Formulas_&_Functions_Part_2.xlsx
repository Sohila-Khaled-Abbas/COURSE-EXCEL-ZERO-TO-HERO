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courses\Data Analysis 26-27\7-Introducation to Data Fields (Excel)\11_Demos_and_Workbooks\03_Formulas_and_Functions\"/>
    </mc:Choice>
  </mc:AlternateContent>
  <xr:revisionPtr revIDLastSave="0" documentId="13_ncr:1_{1CC22469-E24D-44F9-AF19-113C41DE76A5}" xr6:coauthVersionLast="47" xr6:coauthVersionMax="47" xr10:uidLastSave="{00000000-0000-0000-0000-000000000000}"/>
  <bookViews>
    <workbookView xWindow="-108" yWindow="-108" windowWidth="23256" windowHeight="12456" tabRatio="871" activeTab="2" xr2:uid="{00000000-000D-0000-FFFF-FFFF00000000}"/>
  </bookViews>
  <sheets>
    <sheet name="Date and Time " sheetId="19" r:id="rId1"/>
    <sheet name="Logical " sheetId="20" r:id="rId2"/>
    <sheet name="Vlookup" sheetId="7" r:id="rId3"/>
    <sheet name="HLookup" sheetId="10" r:id="rId4"/>
    <sheet name="XLookup" sheetId="14" r:id="rId5"/>
    <sheet name="Rounding and Dynamic Filters " sheetId="18" r:id="rId6"/>
    <sheet name="ليه مش دايما معادلات؟" sheetId="21" r:id="rId7"/>
  </sheets>
  <externalReferences>
    <externalReference r:id="rId8"/>
    <externalReference r:id="rId9"/>
    <externalReference r:id="rId10"/>
  </externalReferences>
  <definedNames>
    <definedName name="certificate" localSheetId="3">#REF!</definedName>
    <definedName name="certificate" localSheetId="4">#REF!</definedName>
    <definedName name="certificate">#REF!</definedName>
    <definedName name="Complaint_ID">'[1]Issue Tracking'!$A$5:$A$22</definedName>
    <definedName name="Customerrr" localSheetId="3">'[1]Clients Data'!#REF!</definedName>
    <definedName name="Customerrr" localSheetId="4">'[1]Clients Data'!#REF!</definedName>
    <definedName name="Customerrr">'[1]Clients Data'!#REF!</definedName>
    <definedName name="Employee_Data">'[2]6'!$A$5:$J$300</definedName>
    <definedName name="Table1">'[3]Multiple Lookup Tables'!$G$6:$H$11</definedName>
    <definedName name="Table2">'[3]Multiple Lookup Tables'!$J$6:$K$8</definedName>
    <definedName name="قرض" localSheetId="3">#REF!</definedName>
    <definedName name="قرض" localSheetId="4">#REF!</definedName>
    <definedName name="قرض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7" l="1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27" i="7"/>
  <c r="M28" i="20" a="1"/>
  <c r="M28" i="20" s="1"/>
  <c r="M29" i="20" a="1"/>
  <c r="M29" i="20" s="1"/>
  <c r="M30" i="20" a="1"/>
  <c r="M30" i="20" s="1"/>
  <c r="M31" i="20" a="1"/>
  <c r="M31" i="20" s="1"/>
  <c r="M32" i="20" a="1"/>
  <c r="M32" i="20" s="1"/>
  <c r="M33" i="20" a="1"/>
  <c r="M33" i="20" s="1"/>
  <c r="M34" i="20" a="1"/>
  <c r="M34" i="20" s="1"/>
  <c r="M35" i="20" a="1"/>
  <c r="M35" i="20" s="1"/>
  <c r="M36" i="20" a="1"/>
  <c r="M36" i="20" s="1"/>
  <c r="M37" i="20" a="1"/>
  <c r="M37" i="20" s="1"/>
  <c r="M38" i="20" a="1"/>
  <c r="M38" i="20" s="1"/>
  <c r="M27" i="20" a="1"/>
  <c r="M27" i="20" s="1"/>
  <c r="L28" i="20"/>
  <c r="L29" i="20"/>
  <c r="L30" i="20"/>
  <c r="L31" i="20"/>
  <c r="L32" i="20"/>
  <c r="L33" i="20"/>
  <c r="L34" i="20"/>
  <c r="L35" i="20"/>
  <c r="L36" i="20"/>
  <c r="L37" i="20"/>
  <c r="L38" i="20"/>
  <c r="L27" i="20"/>
  <c r="J28" i="20"/>
  <c r="K28" i="20" s="1"/>
  <c r="J29" i="20"/>
  <c r="K29" i="20" s="1"/>
  <c r="J30" i="20"/>
  <c r="K30" i="20" s="1"/>
  <c r="J31" i="20"/>
  <c r="K31" i="20" s="1"/>
  <c r="J32" i="20"/>
  <c r="K32" i="20" s="1"/>
  <c r="J33" i="20"/>
  <c r="K33" i="20" s="1"/>
  <c r="J34" i="20"/>
  <c r="K34" i="20" s="1"/>
  <c r="J35" i="20"/>
  <c r="K35" i="20" s="1"/>
  <c r="J36" i="20"/>
  <c r="K36" i="20" s="1"/>
  <c r="J37" i="20"/>
  <c r="K37" i="20" s="1"/>
  <c r="J38" i="20"/>
  <c r="K38" i="20" s="1"/>
  <c r="J27" i="20"/>
  <c r="K27" i="20" s="1"/>
  <c r="I28" i="20"/>
  <c r="I29" i="20"/>
  <c r="I30" i="20"/>
  <c r="I31" i="20"/>
  <c r="I32" i="20"/>
  <c r="I33" i="20"/>
  <c r="I34" i="20"/>
  <c r="I35" i="20"/>
  <c r="I36" i="20"/>
  <c r="I37" i="20"/>
  <c r="I38" i="20"/>
  <c r="I27" i="20"/>
  <c r="H28" i="20" a="1"/>
  <c r="H28" i="20" s="1"/>
  <c r="H29" i="20" a="1"/>
  <c r="H29" i="20" s="1"/>
  <c r="H30" i="20" a="1"/>
  <c r="H30" i="20" s="1"/>
  <c r="H31" i="20" a="1"/>
  <c r="H31" i="20" s="1"/>
  <c r="H32" i="20" a="1"/>
  <c r="H32" i="20" s="1"/>
  <c r="H33" i="20" a="1"/>
  <c r="H33" i="20" s="1"/>
  <c r="H34" i="20" a="1"/>
  <c r="H34" i="20" s="1"/>
  <c r="H35" i="20" a="1"/>
  <c r="H35" i="20" s="1"/>
  <c r="H36" i="20" a="1"/>
  <c r="H36" i="20" s="1"/>
  <c r="H37" i="20" a="1"/>
  <c r="H37" i="20" s="1"/>
  <c r="H38" i="20" a="1"/>
  <c r="H38" i="20" s="1"/>
  <c r="H27" i="20" a="1"/>
  <c r="H27" i="20" s="1"/>
  <c r="G28" i="20" a="1"/>
  <c r="G28" i="20" s="1"/>
  <c r="G29" i="20" a="1"/>
  <c r="G29" i="20" s="1"/>
  <c r="G30" i="20" a="1"/>
  <c r="G30" i="20" s="1"/>
  <c r="G31" i="20" a="1"/>
  <c r="G31" i="20" s="1"/>
  <c r="G32" i="20" a="1"/>
  <c r="G32" i="20" s="1"/>
  <c r="G33" i="20" a="1"/>
  <c r="G33" i="20" s="1"/>
  <c r="G34" i="20" a="1"/>
  <c r="G34" i="20" s="1"/>
  <c r="G35" i="20" a="1"/>
  <c r="G35" i="20" s="1"/>
  <c r="G36" i="20" a="1"/>
  <c r="G36" i="20" s="1"/>
  <c r="G37" i="20" a="1"/>
  <c r="G37" i="20" s="1"/>
  <c r="G38" i="20" a="1"/>
  <c r="G38" i="20" s="1"/>
  <c r="G27" i="20" a="1"/>
  <c r="G27" i="20" s="1"/>
  <c r="F35" i="20" a="1"/>
  <c r="F35" i="20" s="1"/>
  <c r="F28" i="20" a="1"/>
  <c r="F28" i="20" s="1"/>
  <c r="F29" i="20" a="1"/>
  <c r="F29" i="20" s="1"/>
  <c r="F30" i="20" a="1"/>
  <c r="F30" i="20" s="1"/>
  <c r="F31" i="20" a="1"/>
  <c r="F31" i="20" s="1"/>
  <c r="F32" i="20" a="1"/>
  <c r="F32" i="20" s="1"/>
  <c r="F33" i="20" a="1"/>
  <c r="F33" i="20" s="1"/>
  <c r="F34" i="20" a="1"/>
  <c r="F34" i="20" s="1"/>
  <c r="F36" i="20" a="1"/>
  <c r="F36" i="20" s="1"/>
  <c r="F37" i="20" a="1"/>
  <c r="F37" i="20" s="1"/>
  <c r="F38" i="20" a="1"/>
  <c r="F38" i="20" s="1"/>
  <c r="F27" i="20" a="1"/>
  <c r="F27" i="20" s="1"/>
  <c r="E28" i="20"/>
  <c r="E29" i="20"/>
  <c r="E30" i="20"/>
  <c r="E31" i="20"/>
  <c r="E32" i="20"/>
  <c r="E33" i="20"/>
  <c r="E34" i="20"/>
  <c r="E35" i="20"/>
  <c r="E36" i="20"/>
  <c r="E37" i="20"/>
  <c r="E38" i="20"/>
  <c r="E27" i="20"/>
  <c r="D19" i="19"/>
  <c r="D18" i="19"/>
  <c r="D17" i="19"/>
  <c r="D9" i="19"/>
  <c r="D8" i="19"/>
  <c r="D12" i="19" s="1"/>
  <c r="K23" i="14"/>
  <c r="K24" i="14"/>
  <c r="K25" i="14"/>
  <c r="K26" i="14"/>
  <c r="K27" i="14"/>
  <c r="K22" i="14"/>
  <c r="C18" i="10"/>
  <c r="D18" i="10"/>
  <c r="E18" i="10"/>
  <c r="F18" i="10"/>
  <c r="G18" i="10"/>
  <c r="H18" i="10"/>
  <c r="I18" i="10"/>
  <c r="J18" i="10"/>
  <c r="K18" i="10"/>
  <c r="B18" i="10"/>
  <c r="E7" i="18"/>
  <c r="E6" i="18"/>
  <c r="E5" i="18"/>
  <c r="K55" i="14"/>
  <c r="K56" i="14"/>
  <c r="K57" i="14"/>
  <c r="K58" i="14"/>
  <c r="K59" i="14"/>
  <c r="K54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C46" i="10"/>
  <c r="D46" i="10"/>
  <c r="E46" i="10"/>
  <c r="F46" i="10"/>
  <c r="G46" i="10"/>
  <c r="H46" i="10"/>
  <c r="I46" i="10"/>
  <c r="J46" i="10"/>
  <c r="K46" i="10"/>
  <c r="B46" i="10"/>
  <c r="K35" i="10"/>
  <c r="J35" i="10"/>
  <c r="I35" i="10"/>
  <c r="H35" i="10"/>
  <c r="G35" i="10"/>
  <c r="F35" i="10"/>
  <c r="E35" i="10"/>
  <c r="D35" i="10"/>
  <c r="C35" i="10"/>
  <c r="B35" i="10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D23" i="19" l="1"/>
  <c r="D22" i="19"/>
  <c r="D13" i="19"/>
  <c r="D14" i="19"/>
  <c r="K7" i="10"/>
  <c r="J7" i="10"/>
  <c r="I7" i="10"/>
  <c r="H7" i="10"/>
  <c r="G7" i="10"/>
  <c r="F7" i="10"/>
  <c r="E7" i="10"/>
  <c r="D7" i="10"/>
  <c r="C7" i="10"/>
  <c r="B7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<sst xmlns="http://schemas.openxmlformats.org/spreadsheetml/2006/main" count="775" uniqueCount="206">
  <si>
    <t>id</t>
  </si>
  <si>
    <t>add</t>
  </si>
  <si>
    <t>salary</t>
  </si>
  <si>
    <t>Bouns</t>
  </si>
  <si>
    <t>lookup value</t>
  </si>
  <si>
    <t>table array</t>
  </si>
  <si>
    <t>Client Name</t>
  </si>
  <si>
    <t>Account Number</t>
  </si>
  <si>
    <t>Date of Birth</t>
  </si>
  <si>
    <t>Age</t>
  </si>
  <si>
    <t>Gender</t>
  </si>
  <si>
    <t>Industry</t>
  </si>
  <si>
    <t>Annual Income</t>
  </si>
  <si>
    <t>Mirna Tarek</t>
  </si>
  <si>
    <t>Acc_ 102578209545</t>
  </si>
  <si>
    <t>Female</t>
  </si>
  <si>
    <t>Trading</t>
  </si>
  <si>
    <t>Iman Bahaa</t>
  </si>
  <si>
    <t>Acc_ 107462886190</t>
  </si>
  <si>
    <t>Oil &amp; Gas</t>
  </si>
  <si>
    <t>Ahmed Mohamed</t>
  </si>
  <si>
    <t>Acc_ 112347562835</t>
  </si>
  <si>
    <t>Male</t>
  </si>
  <si>
    <t>Mohamed Mostafa</t>
  </si>
  <si>
    <t>Acc_ 117232239480</t>
  </si>
  <si>
    <t>Hesham Mostafa</t>
  </si>
  <si>
    <t>Acc_ 122116916125</t>
  </si>
  <si>
    <t>Manufacturing</t>
  </si>
  <si>
    <t>Ibrahim Ali</t>
  </si>
  <si>
    <t>Acc_ 127001592770</t>
  </si>
  <si>
    <t>Bakr Elmallwany</t>
  </si>
  <si>
    <t>Acc_ 131886269415</t>
  </si>
  <si>
    <t>Samah Fahmy</t>
  </si>
  <si>
    <t>Acc_ 136770946060</t>
  </si>
  <si>
    <t>Telecomunication</t>
  </si>
  <si>
    <t>Islam Gamal</t>
  </si>
  <si>
    <t>Acc_ 141655622705</t>
  </si>
  <si>
    <t>Banking</t>
  </si>
  <si>
    <t>Yousef Amr</t>
  </si>
  <si>
    <t>Acc_ 14654029935</t>
  </si>
  <si>
    <t>Omar Mohamed</t>
  </si>
  <si>
    <t>Acc_ 146540299350</t>
  </si>
  <si>
    <t>Mohamed Fathy</t>
  </si>
  <si>
    <t>Acc_ 151424975995</t>
  </si>
  <si>
    <t>Hania Gomaa</t>
  </si>
  <si>
    <t>Acc_ 156309652640</t>
  </si>
  <si>
    <t>Education</t>
  </si>
  <si>
    <t>Nasr Hassan</t>
  </si>
  <si>
    <t>Acc_ 161194329285</t>
  </si>
  <si>
    <t>Sayed Gohar</t>
  </si>
  <si>
    <t>Acc_ 166079005930</t>
  </si>
  <si>
    <t>Hadeer Elsayed</t>
  </si>
  <si>
    <t>Acc_ 170963682575</t>
  </si>
  <si>
    <t>Amin elgebaly</t>
  </si>
  <si>
    <t>Acc_ 175848359220</t>
  </si>
  <si>
    <t>Mohamed Hamaky</t>
  </si>
  <si>
    <t>Tamer Hosny</t>
  </si>
  <si>
    <t>hamada Sayed</t>
  </si>
  <si>
    <t>Ahmed Raouf</t>
  </si>
  <si>
    <t>Ahmed Alaa</t>
  </si>
  <si>
    <t>Acc_ 180733035865</t>
  </si>
  <si>
    <t>Entertainment</t>
  </si>
  <si>
    <t>Acc_ 185617712510</t>
  </si>
  <si>
    <t>Resturant</t>
  </si>
  <si>
    <t>Acc_ 19538706580</t>
  </si>
  <si>
    <t>Hospital</t>
  </si>
  <si>
    <t>Acc_ 195387065800</t>
  </si>
  <si>
    <t>Acc_ 24423383225</t>
  </si>
  <si>
    <t>Acc_ 2930805987</t>
  </si>
  <si>
    <t>Rania Hassan</t>
  </si>
  <si>
    <t>Acc_ 34192736515</t>
  </si>
  <si>
    <t>Airline</t>
  </si>
  <si>
    <t>Code</t>
  </si>
  <si>
    <t>Try</t>
  </si>
  <si>
    <t>Lookup Range</t>
  </si>
  <si>
    <t>Col index NO</t>
  </si>
  <si>
    <t>Name</t>
  </si>
  <si>
    <t>T1 - Destination</t>
  </si>
  <si>
    <t>T2 - Source</t>
  </si>
  <si>
    <t>Eyad Ahmed</t>
  </si>
  <si>
    <t>Emp Name</t>
  </si>
  <si>
    <t>Kpi1</t>
  </si>
  <si>
    <t xml:space="preserve">IF </t>
  </si>
  <si>
    <t>IFS</t>
  </si>
  <si>
    <t xml:space="preserve">If _error </t>
  </si>
  <si>
    <t xml:space="preserve">And </t>
  </si>
  <si>
    <t xml:space="preserve">Switch </t>
  </si>
  <si>
    <t>Conditions</t>
  </si>
  <si>
    <t>Ibrahim Bakr</t>
  </si>
  <si>
    <t>Ex</t>
  </si>
  <si>
    <t>VG</t>
  </si>
  <si>
    <t>G</t>
  </si>
  <si>
    <t>P</t>
  </si>
  <si>
    <t>F</t>
  </si>
  <si>
    <t>Islam Hussien</t>
  </si>
  <si>
    <t>&gt;=90</t>
  </si>
  <si>
    <t>Moaaz Maher</t>
  </si>
  <si>
    <r>
      <rPr>
        <sz val="14"/>
        <color rgb="FFFF0000"/>
        <rFont val="Calibri"/>
        <family val="2"/>
        <scheme val="minor"/>
      </rPr>
      <t>75</t>
    </r>
    <r>
      <rPr>
        <sz val="14"/>
        <color theme="1"/>
        <rFont val="Calibri"/>
        <family val="2"/>
        <scheme val="minor"/>
      </rPr>
      <t>-90</t>
    </r>
  </si>
  <si>
    <t>Ahmed Heikal</t>
  </si>
  <si>
    <r>
      <rPr>
        <sz val="14"/>
        <color rgb="FFFF0000"/>
        <rFont val="Calibri"/>
        <family val="2"/>
        <scheme val="minor"/>
      </rPr>
      <t>60</t>
    </r>
    <r>
      <rPr>
        <sz val="14"/>
        <color theme="1"/>
        <rFont val="Calibri"/>
        <family val="2"/>
        <scheme val="minor"/>
      </rPr>
      <t>-75</t>
    </r>
  </si>
  <si>
    <t>Mohamed Elsayed</t>
  </si>
  <si>
    <r>
      <rPr>
        <sz val="14"/>
        <color rgb="FFFF0000"/>
        <rFont val="Calibri"/>
        <family val="2"/>
        <scheme val="minor"/>
      </rPr>
      <t>50</t>
    </r>
    <r>
      <rPr>
        <sz val="14"/>
        <color theme="1"/>
        <rFont val="Calibri"/>
        <family val="2"/>
        <scheme val="minor"/>
      </rPr>
      <t>-60</t>
    </r>
  </si>
  <si>
    <t>Moataz Mohamed</t>
  </si>
  <si>
    <t>Zienab Mohamed</t>
  </si>
  <si>
    <t xml:space="preserve">التاريخ فى اكسيل </t>
  </si>
  <si>
    <t xml:space="preserve">صيغ التاريخ </t>
  </si>
  <si>
    <t xml:space="preserve">فك التاريخ </t>
  </si>
  <si>
    <t xml:space="preserve">حسابات التاريخ </t>
  </si>
  <si>
    <t xml:space="preserve">لاظهار تاريخ اليوم </t>
  </si>
  <si>
    <t xml:space="preserve">لاظهار التاريخ و الوقت الحالي </t>
  </si>
  <si>
    <t xml:space="preserve">لاظهار اليوم من التاريخ </t>
  </si>
  <si>
    <t>لاظهار الشهر من التاريخ</t>
  </si>
  <si>
    <t xml:space="preserve">الاظهار السنة من التاريخ </t>
  </si>
  <si>
    <t xml:space="preserve">التاريخ الحالي </t>
  </si>
  <si>
    <t xml:space="preserve">حساب الفرق بين تاريخين </t>
  </si>
  <si>
    <t xml:space="preserve">Start Date </t>
  </si>
  <si>
    <t xml:space="preserve">End Date </t>
  </si>
  <si>
    <t>Datedif (Start date , End Date , "y")</t>
  </si>
  <si>
    <t>Day (Date)</t>
  </si>
  <si>
    <t>Month(Date)</t>
  </si>
  <si>
    <t>year(Date)</t>
  </si>
  <si>
    <t>NETWORKDAYS(StartDate, EndDate)</t>
  </si>
  <si>
    <t>NETWORKDAYS.INTL(StartDate, EndDate, "0000011")</t>
  </si>
  <si>
    <t xml:space="preserve">حساب ايام العمل مع اعتبار السبت و الحد اجازه </t>
  </si>
  <si>
    <t>حساب ايام العمل مع تحديد ايام الاجازه   - الايام فى الباينرى بتبدأ من يوم الاثنين</t>
  </si>
  <si>
    <t>Weeknum ()</t>
  </si>
  <si>
    <t>Weekday ()</t>
  </si>
  <si>
    <t>تحليل زمني</t>
  </si>
  <si>
    <t>اليوم كام في الأسبوع</t>
  </si>
  <si>
    <t>الأسبوع كام في السنة</t>
  </si>
  <si>
    <t>if_NA</t>
  </si>
  <si>
    <t>Or</t>
  </si>
  <si>
    <t>Not</t>
  </si>
  <si>
    <t xml:space="preserve">IF Conditions </t>
  </si>
  <si>
    <t xml:space="preserve">And - OR - Not </t>
  </si>
  <si>
    <t>Error</t>
  </si>
  <si>
    <t>Errors</t>
  </si>
  <si>
    <t>قسمة على صفر</t>
  </si>
  <si>
    <t>نوع بيانات غلط</t>
  </si>
  <si>
    <t>اسم دالة / اسم نطاق غلط</t>
  </si>
  <si>
    <t>مرجع خلية اتحذف</t>
  </si>
  <si>
    <t>رقم غير منطقي</t>
  </si>
  <si>
    <t>"Ahmed" + 5</t>
  </si>
  <si>
    <t>SUUM(A1:A5)</t>
  </si>
  <si>
    <t>a1/0</t>
  </si>
  <si>
    <t xml:space="preserve">Meaning </t>
  </si>
  <si>
    <t xml:space="preserve">Ex </t>
  </si>
  <si>
    <t>A1+B1 (احذف خلية فيهم بعدها )</t>
  </si>
  <si>
    <t>القيمة مش موجودة (شائع جدًا مع LOOKUP)</t>
  </si>
  <si>
    <t>VLOOKUP(5, A1:B3, 2, FALSE)</t>
  </si>
  <si>
    <t>POWER(1000,1000)</t>
  </si>
  <si>
    <t>استخدام ranges غلط (لما تستخدم مسافة بدل فاصلة بين ranges)</t>
  </si>
  <si>
    <t>SUM(F54 G54)</t>
  </si>
  <si>
    <t xml:space="preserve">Vlookup = Vertical Lookup </t>
  </si>
  <si>
    <t>VLOOKUP(lookup_value, table_array, col_index_num, [range_lookup])</t>
  </si>
  <si>
    <t>DOB</t>
  </si>
  <si>
    <t>القيمة اللي بدوّر عليها</t>
  </si>
  <si>
    <t>الجدول اللي هدوّر فيه</t>
  </si>
  <si>
    <t>رقم العمود اللي عايز ترجع منه النتيجة</t>
  </si>
  <si>
    <t>العدّ بيبدأ من الجدول نفسه مش الشيت</t>
  </si>
  <si>
    <t xml:space="preserve">False = Exact || True = Approximate </t>
  </si>
  <si>
    <t>لازم يكون موجود في أول صف من الجدول</t>
  </si>
  <si>
    <t xml:space="preserve"> row_index_num يبدأ من الجدول نفسه</t>
  </si>
  <si>
    <t>كل النتائج اللي عايزها تكون تحت صف البحث</t>
  </si>
  <si>
    <t>لو فيه قيم مكررة في أول صف هيرجع أول واحدة من الشمال</t>
  </si>
  <si>
    <t>Hlookup = Horizontal Lookup</t>
  </si>
  <si>
    <t>اتعملت عشان تغنيك عن VLOOKUP و HLOOKUP وتخلّصك من مشاكلهم.</t>
  </si>
  <si>
    <t>XLOOKUP(lookup_value, lookup_array, return_array, [if_not_found], [match_mode], [search_mode])</t>
  </si>
  <si>
    <t>lookup_value</t>
  </si>
  <si>
    <t>lookup_array</t>
  </si>
  <si>
    <t>return_array</t>
  </si>
  <si>
    <t>[if_not_found</t>
  </si>
  <si>
    <t>[match_mode]</t>
  </si>
  <si>
    <t>[search_mode]</t>
  </si>
  <si>
    <t>Arguments?</t>
  </si>
  <si>
    <t>المدخلات / القيم اللي بتدخلها للدالة عشان تشتغل صح</t>
  </si>
  <si>
    <t xml:space="preserve">لازم القيمة اللي بتدوّر عليها تكون في أول عمود و القيمة اللى هترجعها تكون على يمين العمود اللى بتدور فيه </t>
  </si>
  <si>
    <t xml:space="preserve">خليك فاكر :: مينفعش ادور على شمال عمود البحث </t>
  </si>
  <si>
    <t>طب م تجرب text يعمي؟؟</t>
  </si>
  <si>
    <t>لو بتبحث عن نص → FALSE دايمًا</t>
  </si>
  <si>
    <t>القيمة اللي بتدوّر عليها (رقم – اسم – كود – نص)</t>
  </si>
  <si>
    <t>بدل ما يطلع #N/A اطلع ايه ؟؟</t>
  </si>
  <si>
    <t>0 تطابق تام (الافتراضي) /-1 أقرب قيمة أصغر/1 أقرب قيمة أكبر/2 للبحث باستخدام الـ Wildcards (* ?)</t>
  </si>
  <si>
    <t>طرية البحث ( 1 من فوق لتحت) -- (-1 من تحت لفوق)</t>
  </si>
  <si>
    <t>العمود اللي هبحث فيه مش الجدول -- اوعى تنسي التثبيت --</t>
  </si>
  <si>
    <t xml:space="preserve">العمود الللى هترجع منه القيمه و  اوعى تنسي التثبيت </t>
  </si>
  <si>
    <t>طب م تجرب ال text يعمي؟</t>
  </si>
  <si>
    <t>جمعة</t>
  </si>
  <si>
    <t xml:space="preserve">Don't forget to search about </t>
  </si>
  <si>
    <t xml:space="preserve">Index </t>
  </si>
  <si>
    <t xml:space="preserve">Match </t>
  </si>
  <si>
    <t xml:space="preserve">Xmatch </t>
  </si>
  <si>
    <t xml:space="preserve">Choose </t>
  </si>
  <si>
    <t>Why are Excel formulas not heavily used in professional data analysis workflows?</t>
  </si>
  <si>
    <t>الدوال فى الاول و الاخر هي حل موضعي و ده مش اللى بحله انا بحل مشكلة بيزنس.</t>
  </si>
  <si>
    <t>لأن شغلك مش إكسيل شيت صغير انت بتتعامل مع داتا كتير ف غالبا الداتا مش هتكون فى صوره افضل حل ليها المعادلات.</t>
  </si>
  <si>
    <t>لأنك بتشتغل قبل الإكسيل و غالبا ما بتاخد الداتا اصلا متفلترة سواء من  SQL  او  CRM او اي سيسم تاني.</t>
  </si>
  <si>
    <t xml:space="preserve">متقلقش من عدم حفظك للمعادله - خليك عارف هي بتعمل ايه و لما تحتاجها نفذها -  لو مش فاكرها ارجع ذاكرها </t>
  </si>
  <si>
    <t xml:space="preserve">Round </t>
  </si>
  <si>
    <t>Round_up</t>
  </si>
  <si>
    <t>Round_Down</t>
  </si>
  <si>
    <t>Today ()</t>
  </si>
  <si>
    <t>Now ()</t>
  </si>
  <si>
    <t xml:space="preserve">Logical Functions </t>
  </si>
  <si>
    <t xml:space="preserve">Xlookup </t>
  </si>
  <si>
    <t>if(and)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</si>
</sst>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14C09]dd/mm/yyyy;@"/>
    <numFmt numFmtId="165" formatCode="[$-409]mmmmm;@"/>
    <numFmt numFmtId="166" formatCode="yyyy/mm/dd;@"/>
  </numFmts>
  <fonts count="3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i/>
      <sz val="12"/>
      <color rgb="FFFFFFFF"/>
      <name val="Calibri"/>
      <family val="2"/>
    </font>
    <font>
      <sz val="12"/>
      <color theme="0"/>
      <name val="Calibri"/>
      <family val="2"/>
    </font>
    <font>
      <i/>
      <sz val="12"/>
      <color theme="0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4"/>
      <color theme="0"/>
      <name val="Calibri"/>
      <family val="2"/>
    </font>
    <font>
      <b/>
      <sz val="14"/>
      <color rgb="FF002060"/>
      <name val="Calibri"/>
      <family val="2"/>
    </font>
    <font>
      <b/>
      <i/>
      <sz val="12"/>
      <color theme="0"/>
      <name val="Calibri"/>
      <family val="2"/>
    </font>
    <font>
      <b/>
      <sz val="12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i/>
      <sz val="16"/>
      <color theme="0"/>
      <name val="Calibri"/>
      <family val="2"/>
    </font>
    <font>
      <b/>
      <i/>
      <sz val="12"/>
      <color rgb="FF002060"/>
      <name val="Calibri"/>
      <family val="2"/>
    </font>
    <font>
      <b/>
      <i/>
      <sz val="11"/>
      <color theme="0"/>
      <name val="Calibri"/>
      <family val="2"/>
    </font>
    <font>
      <sz val="14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rgb="FF000000"/>
      <name val="Calibri"/>
      <family val="2"/>
    </font>
    <font>
      <sz val="14"/>
      <color theme="3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i/>
      <sz val="18"/>
      <color rgb="FFFFFFFF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2"/>
      <color theme="1" tint="4.9989318521683403E-2"/>
      <name val="Calibri"/>
      <family val="2"/>
    </font>
    <font>
      <sz val="14"/>
      <color theme="0"/>
      <name val="Calibri"/>
      <family val="2"/>
    </font>
    <font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8"/>
      <color theme="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A4B3F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rgb="FF70AD47"/>
      </patternFill>
    </fill>
    <fill>
      <patternFill patternType="solid">
        <fgColor rgb="FF002060"/>
        <bgColor rgb="FF70AD47"/>
      </patternFill>
    </fill>
    <fill>
      <patternFill patternType="solid">
        <fgColor theme="0"/>
        <bgColor rgb="FFD8D8D8"/>
      </patternFill>
    </fill>
    <fill>
      <patternFill patternType="solid">
        <fgColor rgb="FFFFC000"/>
        <bgColor rgb="FFD8D8D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rgb="FF70AD47"/>
      </patternFill>
    </fill>
    <fill>
      <patternFill patternType="solid">
        <fgColor theme="3" tint="0.59999389629810485"/>
        <bgColor rgb="FF70AD4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8D8D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rgb="FF70AD4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4" fillId="0" borderId="0"/>
    <xf numFmtId="9" fontId="2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07">
    <xf numFmtId="0" fontId="0" fillId="0" borderId="0" xfId="0"/>
    <xf numFmtId="0" fontId="2" fillId="0" borderId="0" xfId="2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0" fillId="0" borderId="0" xfId="2" applyFont="1" applyAlignment="1">
      <alignment horizontal="center" vertical="center"/>
    </xf>
    <xf numFmtId="0" fontId="5" fillId="7" borderId="5" xfId="3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1" fillId="5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2" fillId="5" borderId="1" xfId="2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4" fillId="5" borderId="10" xfId="2" applyFont="1" applyFill="1" applyBorder="1" applyAlignment="1">
      <alignment horizontal="center" vertical="center"/>
    </xf>
    <xf numFmtId="0" fontId="14" fillId="5" borderId="7" xfId="2" applyFont="1" applyFill="1" applyBorder="1" applyAlignment="1">
      <alignment horizontal="center" vertical="center"/>
    </xf>
    <xf numFmtId="0" fontId="14" fillId="5" borderId="11" xfId="2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3" fillId="8" borderId="1" xfId="2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/>
    </xf>
    <xf numFmtId="0" fontId="16" fillId="9" borderId="6" xfId="3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/>
    </xf>
    <xf numFmtId="0" fontId="12" fillId="9" borderId="6" xfId="3" applyFont="1" applyFill="1" applyBorder="1" applyAlignment="1">
      <alignment horizontal="center" vertical="center" wrapText="1"/>
    </xf>
    <xf numFmtId="0" fontId="5" fillId="7" borderId="1" xfId="3" applyFont="1" applyFill="1" applyBorder="1" applyAlignment="1">
      <alignment horizontal="center" vertical="center" wrapText="1"/>
    </xf>
    <xf numFmtId="0" fontId="5" fillId="10" borderId="1" xfId="3" applyFont="1" applyFill="1" applyBorder="1" applyAlignment="1">
      <alignment horizontal="center" vertical="center" wrapText="1"/>
    </xf>
    <xf numFmtId="0" fontId="20" fillId="11" borderId="1" xfId="3" applyFont="1" applyFill="1" applyBorder="1" applyAlignment="1">
      <alignment horizontal="center" vertical="center"/>
    </xf>
    <xf numFmtId="0" fontId="20" fillId="12" borderId="1" xfId="3" applyFont="1" applyFill="1" applyBorder="1" applyAlignment="1">
      <alignment horizontal="center" vertical="center"/>
    </xf>
    <xf numFmtId="0" fontId="21" fillId="0" borderId="1" xfId="5" applyFont="1" applyBorder="1" applyAlignment="1">
      <alignment horizontal="center"/>
    </xf>
    <xf numFmtId="9" fontId="21" fillId="0" borderId="1" xfId="4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3" fillId="13" borderId="0" xfId="0" applyFont="1" applyFill="1"/>
    <xf numFmtId="0" fontId="23" fillId="13" borderId="1" xfId="0" applyFont="1" applyFill="1" applyBorder="1"/>
    <xf numFmtId="22" fontId="23" fillId="13" borderId="1" xfId="0" applyNumberFormat="1" applyFont="1" applyFill="1" applyBorder="1"/>
    <xf numFmtId="0" fontId="24" fillId="14" borderId="1" xfId="0" applyFont="1" applyFill="1" applyBorder="1"/>
    <xf numFmtId="14" fontId="0" fillId="14" borderId="1" xfId="0" applyNumberFormat="1" applyFill="1" applyBorder="1"/>
    <xf numFmtId="0" fontId="0" fillId="14" borderId="1" xfId="0" applyFill="1" applyBorder="1"/>
    <xf numFmtId="0" fontId="23" fillId="13" borderId="1" xfId="0" applyFont="1" applyFill="1" applyBorder="1" applyAlignment="1">
      <alignment vertical="center"/>
    </xf>
    <xf numFmtId="0" fontId="24" fillId="14" borderId="1" xfId="0" applyFont="1" applyFill="1" applyBorder="1" applyAlignment="1">
      <alignment horizontal="right" vertical="center" wrapText="1"/>
    </xf>
    <xf numFmtId="0" fontId="5" fillId="15" borderId="1" xfId="3" applyFont="1" applyFill="1" applyBorder="1" applyAlignment="1">
      <alignment horizontal="center" vertical="center" wrapText="1"/>
    </xf>
    <xf numFmtId="0" fontId="5" fillId="16" borderId="1" xfId="3" applyFont="1" applyFill="1" applyBorder="1" applyAlignment="1">
      <alignment horizontal="center" vertical="center" wrapText="1"/>
    </xf>
    <xf numFmtId="0" fontId="25" fillId="10" borderId="1" xfId="3" applyFont="1" applyFill="1" applyBorder="1" applyAlignment="1">
      <alignment horizontal="center" vertical="center" wrapText="1"/>
    </xf>
    <xf numFmtId="0" fontId="25" fillId="10" borderId="1" xfId="3" applyFont="1" applyFill="1" applyBorder="1" applyAlignment="1">
      <alignment horizontal="center" vertical="center"/>
    </xf>
    <xf numFmtId="0" fontId="21" fillId="0" borderId="1" xfId="4" applyNumberFormat="1" applyFont="1" applyBorder="1" applyAlignment="1">
      <alignment horizontal="center"/>
    </xf>
    <xf numFmtId="0" fontId="23" fillId="1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6" fillId="17" borderId="1" xfId="0" applyFont="1" applyFill="1" applyBorder="1" applyAlignment="1">
      <alignment horizontal="left" vertical="center" wrapText="1"/>
    </xf>
    <xf numFmtId="0" fontId="20" fillId="18" borderId="1" xfId="3" applyFont="1" applyFill="1" applyBorder="1" applyAlignment="1">
      <alignment horizontal="center" vertical="center"/>
    </xf>
    <xf numFmtId="0" fontId="5" fillId="7" borderId="5" xfId="3" applyFont="1" applyFill="1" applyBorder="1" applyAlignment="1">
      <alignment horizontal="center" vertical="center"/>
    </xf>
    <xf numFmtId="0" fontId="12" fillId="9" borderId="6" xfId="3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6" borderId="6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5" fillId="7" borderId="1" xfId="3" applyFont="1" applyFill="1" applyBorder="1" applyAlignment="1">
      <alignment horizontal="center" vertical="center"/>
    </xf>
    <xf numFmtId="0" fontId="26" fillId="4" borderId="1" xfId="0" applyFont="1" applyFill="1" applyBorder="1"/>
    <xf numFmtId="0" fontId="29" fillId="21" borderId="6" xfId="3" applyFont="1" applyFill="1" applyBorder="1" applyAlignment="1">
      <alignment horizontal="center" vertical="center" wrapText="1"/>
    </xf>
    <xf numFmtId="0" fontId="0" fillId="24" borderId="0" xfId="0" applyFill="1"/>
    <xf numFmtId="0" fontId="33" fillId="24" borderId="1" xfId="0" applyFont="1" applyFill="1" applyBorder="1" applyAlignment="1">
      <alignment vertical="center"/>
    </xf>
    <xf numFmtId="0" fontId="34" fillId="24" borderId="0" xfId="0" applyFont="1" applyFill="1"/>
    <xf numFmtId="0" fontId="23" fillId="13" borderId="1" xfId="0" applyFont="1" applyFill="1" applyBorder="1" applyAlignment="1">
      <alignment horizontal="center"/>
    </xf>
    <xf numFmtId="165" fontId="0" fillId="0" borderId="0" xfId="0" applyNumberFormat="1"/>
    <xf numFmtId="166" fontId="23" fillId="13" borderId="1" xfId="0" applyNumberFormat="1" applyFont="1" applyFill="1" applyBorder="1"/>
    <xf numFmtId="0" fontId="26" fillId="17" borderId="1" xfId="0" applyFont="1" applyFill="1" applyBorder="1" applyAlignment="1">
      <alignment horizontal="right" vertical="center" wrapText="1"/>
    </xf>
    <xf numFmtId="0" fontId="26" fillId="17" borderId="1" xfId="0" applyFont="1" applyFill="1" applyBorder="1" applyAlignment="1">
      <alignment horizontal="right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right" vertical="center"/>
    </xf>
    <xf numFmtId="0" fontId="30" fillId="3" borderId="14" xfId="0" applyFont="1" applyFill="1" applyBorder="1" applyAlignment="1">
      <alignment horizontal="center" vertical="center"/>
    </xf>
    <xf numFmtId="0" fontId="30" fillId="3" borderId="15" xfId="0" applyFont="1" applyFill="1" applyBorder="1" applyAlignment="1">
      <alignment horizontal="center" vertical="center"/>
    </xf>
    <xf numFmtId="0" fontId="30" fillId="3" borderId="16" xfId="0" applyFont="1" applyFill="1" applyBorder="1" applyAlignment="1">
      <alignment horizontal="center" vertical="center"/>
    </xf>
    <xf numFmtId="0" fontId="30" fillId="3" borderId="10" xfId="0" applyFont="1" applyFill="1" applyBorder="1" applyAlignment="1">
      <alignment horizontal="center" vertical="center"/>
    </xf>
    <xf numFmtId="0" fontId="28" fillId="19" borderId="1" xfId="0" applyFont="1" applyFill="1" applyBorder="1" applyAlignment="1">
      <alignment horizontal="center" vertical="center"/>
    </xf>
    <xf numFmtId="0" fontId="5" fillId="7" borderId="12" xfId="3" applyFont="1" applyFill="1" applyBorder="1" applyAlignment="1">
      <alignment horizontal="center" vertical="center" wrapText="1"/>
    </xf>
    <xf numFmtId="0" fontId="5" fillId="7" borderId="9" xfId="3" applyFont="1" applyFill="1" applyBorder="1" applyAlignment="1">
      <alignment horizontal="center" vertical="center" wrapText="1"/>
    </xf>
    <xf numFmtId="0" fontId="35" fillId="6" borderId="0" xfId="0" applyFont="1" applyFill="1" applyAlignment="1">
      <alignment horizontal="center" vertical="center"/>
    </xf>
    <xf numFmtId="0" fontId="2" fillId="20" borderId="1" xfId="2" applyFill="1" applyBorder="1" applyAlignment="1">
      <alignment horizontal="right" vertical="center"/>
    </xf>
    <xf numFmtId="0" fontId="0" fillId="20" borderId="1" xfId="0" applyFill="1" applyBorder="1" applyAlignment="1">
      <alignment vertical="center"/>
    </xf>
    <xf numFmtId="0" fontId="28" fillId="19" borderId="1" xfId="2" applyFont="1" applyFill="1" applyBorder="1" applyAlignment="1">
      <alignment horizontal="center" vertical="center"/>
    </xf>
    <xf numFmtId="0" fontId="0" fillId="19" borderId="0" xfId="0" applyFill="1" applyAlignment="1">
      <alignment horizontal="right" vertical="center"/>
    </xf>
    <xf numFmtId="0" fontId="0" fillId="0" borderId="0" xfId="0" applyAlignment="1">
      <alignment horizontal="left" vertical="center"/>
    </xf>
    <xf numFmtId="0" fontId="13" fillId="2" borderId="0" xfId="2" applyFont="1" applyFill="1" applyAlignment="1">
      <alignment horizontal="center" vertical="center"/>
    </xf>
    <xf numFmtId="0" fontId="15" fillId="6" borderId="2" xfId="0" applyFont="1" applyFill="1" applyBorder="1" applyAlignment="1">
      <alignment horizontal="left" vertical="center"/>
    </xf>
    <xf numFmtId="0" fontId="15" fillId="6" borderId="3" xfId="0" applyFont="1" applyFill="1" applyBorder="1" applyAlignment="1">
      <alignment horizontal="left" vertical="center"/>
    </xf>
    <xf numFmtId="0" fontId="15" fillId="6" borderId="4" xfId="0" applyFont="1" applyFill="1" applyBorder="1" applyAlignment="1">
      <alignment horizontal="left" vertical="center"/>
    </xf>
    <xf numFmtId="0" fontId="10" fillId="6" borderId="0" xfId="0" applyFont="1" applyFill="1" applyAlignment="1">
      <alignment horizontal="center" vertical="center"/>
    </xf>
    <xf numFmtId="0" fontId="18" fillId="4" borderId="0" xfId="2" applyFont="1" applyFill="1" applyAlignment="1">
      <alignment horizontal="right" vertical="center"/>
    </xf>
    <xf numFmtId="0" fontId="27" fillId="4" borderId="0" xfId="2" applyFont="1" applyFill="1" applyAlignment="1">
      <alignment horizontal="center" vertical="center"/>
    </xf>
    <xf numFmtId="0" fontId="27" fillId="20" borderId="1" xfId="2" applyFont="1" applyFill="1" applyBorder="1" applyAlignment="1">
      <alignment horizontal="right" vertical="center"/>
    </xf>
    <xf numFmtId="0" fontId="15" fillId="6" borderId="8" xfId="0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center" vertical="center"/>
    </xf>
    <xf numFmtId="0" fontId="32" fillId="23" borderId="1" xfId="0" applyFont="1" applyFill="1" applyBorder="1" applyAlignment="1">
      <alignment horizontal="center" vertical="center"/>
    </xf>
    <xf numFmtId="0" fontId="31" fillId="13" borderId="0" xfId="0" applyFont="1" applyFill="1" applyAlignment="1">
      <alignment horizontal="right" vertical="center"/>
    </xf>
  </cellXfs>
  <cellStyles count="6">
    <cellStyle name="Heading 4" xfId="5" builtinId="19"/>
    <cellStyle name="Normal" xfId="0" builtinId="0"/>
    <cellStyle name="Normal 2" xfId="1" xr:uid="{2E1E6CF0-C883-4082-A0F5-DBCFDD01BC3E}"/>
    <cellStyle name="Normal 3" xfId="3" xr:uid="{EF1F2EBB-6110-4F97-B36F-C652B326AAD5}"/>
    <cellStyle name="Normal 6" xfId="2" xr:uid="{C18EB758-0B4F-4F0C-B7AE-1480C3A6FBBB}"/>
    <cellStyle name="Percent" xfId="4" builtinId="5"/>
  </cellStyles>
  <dxfs count="0"/>
  <tableStyles count="1" defaultTableStyle="TableStyleMedium2" defaultPivotStyle="PivotStyleLight16">
    <tableStyle name="Invisible" pivot="0" table="0" count="0" xr9:uid="{C248F899-6255-45FB-A494-8D1EC61FAE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342899</xdr:colOff>
      <xdr:row>3</xdr:row>
      <xdr:rowOff>175260</xdr:rowOff>
    </xdr:from>
    <xdr:to>
      <xdr:col>4</xdr:col>
      <xdr:colOff>750570</xdr:colOff>
      <xdr:row>20</xdr:row>
      <xdr:rowOff>160020</xdr:rowOff>
    </xdr:to>
    <xdr:pic>
      <xdr:nvPicPr>
        <xdr:cNvPr id="4" name="Picture 3" descr="Scala - IF ELSE Statements">
          <a:extLst>
            <a:ext uri="{FF2B5EF4-FFF2-40B4-BE49-F238E27FC236}">
              <a16:creationId xmlns:a16="http://schemas.microsoft.com/office/drawing/2014/main" id="{11E3788C-77FD-661F-B53A-6E05968B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899" y="655320"/>
          <a:ext cx="4053841" cy="3093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38100</xdr:colOff>
      <xdr:row>3</xdr:row>
      <xdr:rowOff>144780</xdr:rowOff>
    </xdr:from>
    <xdr:to>
      <xdr:col>14</xdr:col>
      <xdr:colOff>280035</xdr:colOff>
      <xdr:row>20</xdr:row>
      <xdr:rowOff>152400</xdr:rowOff>
    </xdr:to>
    <xdr:pic>
      <xdr:nvPicPr>
        <xdr:cNvPr id="6" name="Picture 5" descr="switch case in cpp">
          <a:extLst>
            <a:ext uri="{FF2B5EF4-FFF2-40B4-BE49-F238E27FC236}">
              <a16:creationId xmlns:a16="http://schemas.microsoft.com/office/drawing/2014/main" id="{AB3699FB-BAE0-4582-8282-E7EF984A8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1160" y="624840"/>
          <a:ext cx="3863340" cy="3116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1379220</xdr:colOff>
      <xdr:row>3</xdr:row>
      <xdr:rowOff>160020</xdr:rowOff>
    </xdr:from>
    <xdr:to>
      <xdr:col>7</xdr:col>
      <xdr:colOff>1123950</xdr:colOff>
      <xdr:row>20</xdr:row>
      <xdr:rowOff>152400</xdr:rowOff>
    </xdr:to>
    <xdr:pic>
      <xdr:nvPicPr>
        <xdr:cNvPr id="7" name="Picture 6" descr="Definition of AND-OR-NOT | PCMag">
          <a:extLst>
            <a:ext uri="{FF2B5EF4-FFF2-40B4-BE49-F238E27FC236}">
              <a16:creationId xmlns:a16="http://schemas.microsoft.com/office/drawing/2014/main" id="{23570548-31D2-E3AB-6D18-AE2A5E445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8240" y="640080"/>
          <a:ext cx="3985260" cy="3101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541736</xdr:colOff>
      <xdr:row>5</xdr:row>
      <xdr:rowOff>101204</xdr:rowOff>
    </xdr:from>
    <xdr:to>
      <xdr:col>8</xdr:col>
      <xdr:colOff>53578</xdr:colOff>
      <xdr:row>11</xdr:row>
      <xdr:rowOff>107157</xdr:rowOff>
    </xdr:to>
    <xdr:cxnSp macro="">
      <xdr:nvCxnSpPr>
        <xdr:cNvPr id="2" name="Connector: Curved 1">
          <a:extLst>
            <a:ext uri="{FF2B5EF4-FFF2-40B4-BE49-F238E27FC236}">
              <a16:creationId xmlns:a16="http://schemas.microsoft.com/office/drawing/2014/main" id="{85A3D62D-8FF0-4F15-BB89-580D4B16A91E}"/>
            </a:ext>
          </a:extLst>
        </xdr:cNvPr>
        <xdr:cNvCxnSpPr/>
      </xdr:nvCxnSpPr>
      <xdr:spPr>
        <a:xfrm rot="10800000">
          <a:off x="3043198" y="999838"/>
          <a:ext cx="2302339" cy="1109540"/>
        </a:xfrm>
        <a:prstGeom prst="curved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143492</xdr:colOff>
      <xdr:row>3</xdr:row>
      <xdr:rowOff>17860</xdr:rowOff>
    </xdr:from>
    <xdr:to>
      <xdr:col>1</xdr:col>
      <xdr:colOff>273844</xdr:colOff>
      <xdr:row>3</xdr:row>
      <xdr:rowOff>194196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EF7555AE-2CE8-4292-A200-FEF23A5ABC30}"/>
            </a:ext>
          </a:extLst>
        </xdr:cNvPr>
        <xdr:cNvSpPr/>
      </xdr:nvSpPr>
      <xdr:spPr>
        <a:xfrm>
          <a:off x="143492" y="648891"/>
          <a:ext cx="130352" cy="17633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65689</xdr:colOff>
      <xdr:row>4</xdr:row>
      <xdr:rowOff>105104</xdr:rowOff>
    </xdr:from>
    <xdr:to>
      <xdr:col>6</xdr:col>
      <xdr:colOff>78827</xdr:colOff>
      <xdr:row>11</xdr:row>
      <xdr:rowOff>190500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41B5791-3C33-4C44-93FE-14A731316CC5}"/>
            </a:ext>
          </a:extLst>
        </xdr:cNvPr>
        <xdr:cNvCxnSpPr/>
      </xdr:nvCxnSpPr>
      <xdr:spPr>
        <a:xfrm flipH="1">
          <a:off x="3534103" y="814552"/>
          <a:ext cx="13138" cy="1425465"/>
        </a:xfrm>
        <a:prstGeom prst="straightConnector1">
          <a:avLst/>
        </a:prstGeom>
        <a:ln w="19050">
          <a:solidFill>
            <a:srgbClr val="00206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420827</xdr:colOff>
      <xdr:row>11</xdr:row>
      <xdr:rowOff>169357</xdr:rowOff>
    </xdr:from>
    <xdr:to>
      <xdr:col>8</xdr:col>
      <xdr:colOff>517718</xdr:colOff>
      <xdr:row>11</xdr:row>
      <xdr:rowOff>175308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91797C7-F7F2-49DF-9E55-B3B1C210C6FD}"/>
            </a:ext>
          </a:extLst>
        </xdr:cNvPr>
        <xdr:cNvCxnSpPr/>
      </xdr:nvCxnSpPr>
      <xdr:spPr>
        <a:xfrm>
          <a:off x="3462258" y="2218874"/>
          <a:ext cx="2198960" cy="5951"/>
        </a:xfrm>
        <a:prstGeom prst="straightConnector1">
          <a:avLst/>
        </a:prstGeom>
        <a:ln w="19050">
          <a:solidFill>
            <a:srgbClr val="00206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414954</xdr:colOff>
      <xdr:row>3</xdr:row>
      <xdr:rowOff>9526</xdr:rowOff>
    </xdr:from>
    <xdr:to>
      <xdr:col>6</xdr:col>
      <xdr:colOff>116681</xdr:colOff>
      <xdr:row>3</xdr:row>
      <xdr:rowOff>185862</xdr:rowOff>
    </xdr:to>
    <xdr:sp macro="" textlink="">
      <xdr:nvSpPr>
        <xdr:cNvPr id="13" name="Arrow: Down 12">
          <a:extLst>
            <a:ext uri="{FF2B5EF4-FFF2-40B4-BE49-F238E27FC236}">
              <a16:creationId xmlns:a16="http://schemas.microsoft.com/office/drawing/2014/main" id="{271909EA-87B0-48E1-9849-74AA305762EC}"/>
            </a:ext>
          </a:extLst>
        </xdr:cNvPr>
        <xdr:cNvSpPr/>
      </xdr:nvSpPr>
      <xdr:spPr>
        <a:xfrm>
          <a:off x="2986704" y="640557"/>
          <a:ext cx="130352" cy="17633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78828</xdr:colOff>
      <xdr:row>4</xdr:row>
      <xdr:rowOff>14452</xdr:rowOff>
    </xdr:from>
    <xdr:to>
      <xdr:col>8</xdr:col>
      <xdr:colOff>86710</xdr:colOff>
      <xdr:row>11</xdr:row>
      <xdr:rowOff>78828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B4F17C2-1990-4F83-81DC-02D8B8288307}"/>
            </a:ext>
          </a:extLst>
        </xdr:cNvPr>
        <xdr:cNvCxnSpPr/>
      </xdr:nvCxnSpPr>
      <xdr:spPr>
        <a:xfrm flipH="1">
          <a:off x="5222328" y="723900"/>
          <a:ext cx="7882" cy="1404445"/>
        </a:xfrm>
        <a:prstGeom prst="straightConnector1">
          <a:avLst/>
        </a:prstGeom>
        <a:ln w="19050">
          <a:solidFill>
            <a:srgbClr val="00206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ewHDD\Ahmed_Personal\PRIVITE%20WORK\Skills%20Bank%20Company\Banque%20Misr%20-%20Excel%20Academy\Excel%20Academy%20-%20Advanced%20Level\Advanced%20-Updated\Advanced%20-%20Solutions\Day2\Issue-Trac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MAJD%20STORE\Desktop\Alex%20Bank_Day1\Excel_Ex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ewHDD\Ahmed_Personal\PRIVITE%20WORK\Skills%20Bank%20Company\Excel%20@%20SKILLS%20BANK\Excel%20@%20SKILLS%20BANK%20Files\Excel%20Master-Advanced%20Level%20@%202%20Days\D1\Session%201\5.1-V%20&amp;%20H-lookup-functions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kup"/>
      <sheetName val="Issue Tracking"/>
      <sheetName val="Clients Data"/>
      <sheetName val="Table"/>
      <sheetName val="Age in Years, Months and Days"/>
      <sheetName val="Dates"/>
      <sheetName val="Holiday_List"/>
      <sheetName val="Data Validation"/>
      <sheetName val="LISt2"/>
    </sheetNames>
    <sheetDataSet>
      <sheetData sheetId="0" refreshError="1"/>
      <sheetData sheetId="1">
        <row r="5">
          <cell r="A5" t="str">
            <v>C-001</v>
          </cell>
        </row>
        <row r="6">
          <cell r="A6" t="str">
            <v>C-002</v>
          </cell>
        </row>
        <row r="7">
          <cell r="A7" t="str">
            <v>C-003</v>
          </cell>
        </row>
        <row r="8">
          <cell r="A8" t="str">
            <v>C-004</v>
          </cell>
        </row>
        <row r="9">
          <cell r="A9" t="str">
            <v>C-005</v>
          </cell>
        </row>
        <row r="10">
          <cell r="A10" t="str">
            <v>C-006</v>
          </cell>
        </row>
        <row r="11">
          <cell r="A11" t="str">
            <v>C-007</v>
          </cell>
        </row>
        <row r="12">
          <cell r="A12" t="str">
            <v>C-008</v>
          </cell>
        </row>
        <row r="13">
          <cell r="A13" t="str">
            <v>C-009</v>
          </cell>
        </row>
        <row r="14">
          <cell r="A14" t="str">
            <v>C-010</v>
          </cell>
        </row>
        <row r="15">
          <cell r="A15" t="str">
            <v>C-011</v>
          </cell>
        </row>
        <row r="16">
          <cell r="A16" t="str">
            <v>C-012</v>
          </cell>
        </row>
        <row r="17">
          <cell r="A17" t="str">
            <v>C-013</v>
          </cell>
        </row>
        <row r="18">
          <cell r="A18" t="str">
            <v>C-014</v>
          </cell>
        </row>
        <row r="19">
          <cell r="A19" t="str">
            <v>C-015</v>
          </cell>
        </row>
        <row r="20">
          <cell r="A20" t="str">
            <v>C-016</v>
          </cell>
        </row>
        <row r="21">
          <cell r="A21" t="str">
            <v>C-017</v>
          </cell>
        </row>
        <row r="22">
          <cell r="A22" t="str">
            <v>C-018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"/>
      <sheetName val="2"/>
      <sheetName val="3"/>
      <sheetName val="4"/>
      <sheetName val="Facility"/>
      <sheetName val="6"/>
      <sheetName val="7"/>
      <sheetName val="AIR BP FROM 1 TO 30 Sep. 2019"/>
      <sheetName val="3 (2)"/>
    </sheetNames>
    <sheetDataSet>
      <sheetData sheetId="0"/>
      <sheetData sheetId="1" refreshError="1"/>
      <sheetData sheetId="2"/>
      <sheetData sheetId="3" refreshError="1"/>
      <sheetData sheetId="4"/>
      <sheetData sheetId="5">
        <row r="5">
          <cell r="A5" t="str">
            <v>اسم الموظف</v>
          </cell>
          <cell r="B5" t="str">
            <v>كود الموظف</v>
          </cell>
          <cell r="C5">
            <v>44260</v>
          </cell>
          <cell r="D5" t="str">
            <v>تاريخ الميلاد</v>
          </cell>
          <cell r="E5" t="str">
            <v>السن</v>
          </cell>
          <cell r="F5" t="str">
            <v>الراتب</v>
          </cell>
          <cell r="G5" t="str">
            <v>الفرع</v>
          </cell>
          <cell r="H5" t="str">
            <v>الدرجة الوظيفية</v>
          </cell>
          <cell r="I5" t="str">
            <v>القسم</v>
          </cell>
          <cell r="J5" t="str">
            <v>تاريخ التعيين</v>
          </cell>
        </row>
        <row r="6">
          <cell r="A6" t="str">
            <v>ابراهيم حسين مختار رشدي</v>
          </cell>
          <cell r="B6">
            <v>9190306</v>
          </cell>
          <cell r="C6">
            <v>81001</v>
          </cell>
          <cell r="D6">
            <v>30102</v>
          </cell>
          <cell r="E6">
            <v>38</v>
          </cell>
          <cell r="F6">
            <v>19640</v>
          </cell>
          <cell r="G6" t="str">
            <v>الفيوم</v>
          </cell>
          <cell r="H6">
            <v>7</v>
          </cell>
          <cell r="I6" t="str">
            <v>Teller</v>
          </cell>
          <cell r="J6">
            <v>40306</v>
          </cell>
        </row>
        <row r="7">
          <cell r="A7" t="str">
            <v>ابراهيم علي محمود شمردل</v>
          </cell>
          <cell r="B7">
            <v>9191756</v>
          </cell>
          <cell r="C7">
            <v>81002</v>
          </cell>
          <cell r="D7">
            <v>30585</v>
          </cell>
          <cell r="E7">
            <v>37</v>
          </cell>
          <cell r="F7">
            <v>18570</v>
          </cell>
          <cell r="G7" t="str">
            <v>الادارة</v>
          </cell>
          <cell r="H7">
            <v>8</v>
          </cell>
          <cell r="I7" t="str">
            <v>Call Center</v>
          </cell>
          <cell r="J7">
            <v>41756</v>
          </cell>
        </row>
        <row r="8">
          <cell r="A8" t="str">
            <v>ابراهيم محمد ابو الوفا الخطيب</v>
          </cell>
          <cell r="B8">
            <v>9190186</v>
          </cell>
          <cell r="C8">
            <v>81003</v>
          </cell>
          <cell r="D8">
            <v>30062</v>
          </cell>
          <cell r="E8">
            <v>38</v>
          </cell>
          <cell r="F8">
            <v>19320</v>
          </cell>
          <cell r="G8" t="str">
            <v>الادارة</v>
          </cell>
          <cell r="H8">
            <v>7</v>
          </cell>
          <cell r="I8" t="str">
            <v>Credit</v>
          </cell>
          <cell r="J8">
            <v>40186</v>
          </cell>
        </row>
        <row r="9">
          <cell r="A9" t="str">
            <v>ابو بكر محمد ابوبكر عبدالعزيز</v>
          </cell>
          <cell r="B9">
            <v>9191839</v>
          </cell>
          <cell r="C9">
            <v>81004</v>
          </cell>
          <cell r="D9">
            <v>30613</v>
          </cell>
          <cell r="E9">
            <v>37</v>
          </cell>
          <cell r="F9">
            <v>18560</v>
          </cell>
          <cell r="G9" t="str">
            <v>السويس</v>
          </cell>
          <cell r="H9">
            <v>8</v>
          </cell>
          <cell r="I9" t="str">
            <v>CS</v>
          </cell>
          <cell r="J9">
            <v>41839</v>
          </cell>
        </row>
        <row r="10">
          <cell r="A10" t="str">
            <v>احمد ابراهيم احمد ابراهيم</v>
          </cell>
          <cell r="B10">
            <v>9150092</v>
          </cell>
          <cell r="C10">
            <v>81005</v>
          </cell>
          <cell r="D10">
            <v>25046</v>
          </cell>
          <cell r="E10">
            <v>52</v>
          </cell>
          <cell r="F10">
            <v>26050</v>
          </cell>
          <cell r="G10" t="str">
            <v>السويس</v>
          </cell>
          <cell r="H10">
            <v>3</v>
          </cell>
          <cell r="I10" t="str">
            <v>Branch manager</v>
          </cell>
          <cell r="J10">
            <v>40092</v>
          </cell>
        </row>
        <row r="11">
          <cell r="A11" t="str">
            <v>احمد رمضان كمال عبدالحفيظ</v>
          </cell>
          <cell r="B11">
            <v>9191290</v>
          </cell>
          <cell r="C11">
            <v>81006</v>
          </cell>
          <cell r="D11">
            <v>30430</v>
          </cell>
          <cell r="E11">
            <v>37</v>
          </cell>
          <cell r="F11">
            <v>18760</v>
          </cell>
          <cell r="G11" t="str">
            <v>المعادى</v>
          </cell>
          <cell r="H11">
            <v>7</v>
          </cell>
          <cell r="I11" t="str">
            <v>CS</v>
          </cell>
          <cell r="J11">
            <v>41290</v>
          </cell>
        </row>
        <row r="12">
          <cell r="A12" t="str">
            <v>احمد طارق احمد يوسف السيد</v>
          </cell>
          <cell r="B12">
            <v>9180095</v>
          </cell>
          <cell r="C12">
            <v>81007</v>
          </cell>
          <cell r="D12">
            <v>26698</v>
          </cell>
          <cell r="E12">
            <v>48</v>
          </cell>
          <cell r="F12">
            <v>24280</v>
          </cell>
          <cell r="G12" t="str">
            <v>كفر الشيخ</v>
          </cell>
          <cell r="H12">
            <v>4</v>
          </cell>
          <cell r="I12" t="str">
            <v>Treasury</v>
          </cell>
          <cell r="J12">
            <v>40095</v>
          </cell>
        </row>
        <row r="13">
          <cell r="A13" t="str">
            <v>احمد عادل حسن دسوقى كحلا</v>
          </cell>
          <cell r="B13">
            <v>9190769</v>
          </cell>
          <cell r="C13">
            <v>81008</v>
          </cell>
          <cell r="D13">
            <v>30256</v>
          </cell>
          <cell r="E13">
            <v>38</v>
          </cell>
          <cell r="F13">
            <v>19470</v>
          </cell>
          <cell r="G13" t="str">
            <v>الادارة</v>
          </cell>
          <cell r="H13">
            <v>7</v>
          </cell>
          <cell r="I13" t="str">
            <v>Call Center</v>
          </cell>
          <cell r="J13">
            <v>40769</v>
          </cell>
        </row>
        <row r="14">
          <cell r="A14" t="str">
            <v>احمد عاطف عيد احمد</v>
          </cell>
          <cell r="B14">
            <v>9191194</v>
          </cell>
          <cell r="C14">
            <v>81009</v>
          </cell>
          <cell r="D14">
            <v>30398</v>
          </cell>
          <cell r="E14">
            <v>37</v>
          </cell>
          <cell r="F14">
            <v>18830</v>
          </cell>
          <cell r="G14" t="str">
            <v>المنيل</v>
          </cell>
          <cell r="H14">
            <v>7</v>
          </cell>
          <cell r="I14" t="str">
            <v>CS</v>
          </cell>
          <cell r="J14">
            <v>41194</v>
          </cell>
        </row>
        <row r="15">
          <cell r="A15" t="str">
            <v>احمد عصام محمد احمد جاد</v>
          </cell>
          <cell r="B15">
            <v>9190972</v>
          </cell>
          <cell r="C15">
            <v>81010</v>
          </cell>
          <cell r="D15">
            <v>30324</v>
          </cell>
          <cell r="E15">
            <v>38</v>
          </cell>
          <cell r="F15">
            <v>19230</v>
          </cell>
          <cell r="G15" t="str">
            <v>اكتوبر</v>
          </cell>
          <cell r="H15">
            <v>7</v>
          </cell>
          <cell r="I15" t="str">
            <v>GTRF</v>
          </cell>
          <cell r="J15">
            <v>40972</v>
          </cell>
        </row>
        <row r="16">
          <cell r="A16" t="str">
            <v>احمد عصام محمد عمار</v>
          </cell>
          <cell r="B16">
            <v>9191383</v>
          </cell>
          <cell r="C16">
            <v>81011</v>
          </cell>
          <cell r="D16">
            <v>30461</v>
          </cell>
          <cell r="E16">
            <v>37</v>
          </cell>
          <cell r="F16">
            <v>18690</v>
          </cell>
          <cell r="G16" t="str">
            <v>شبرا</v>
          </cell>
          <cell r="H16">
            <v>7</v>
          </cell>
          <cell r="I16" t="str">
            <v>Teller</v>
          </cell>
          <cell r="J16">
            <v>41383</v>
          </cell>
        </row>
        <row r="17">
          <cell r="A17" t="str">
            <v>احمد فهمى سليمان فهمى</v>
          </cell>
          <cell r="B17">
            <v>9190307</v>
          </cell>
          <cell r="C17">
            <v>81012</v>
          </cell>
          <cell r="D17">
            <v>30102</v>
          </cell>
          <cell r="E17">
            <v>38</v>
          </cell>
          <cell r="F17">
            <v>19640</v>
          </cell>
          <cell r="G17" t="str">
            <v>فيصل</v>
          </cell>
          <cell r="H17">
            <v>7</v>
          </cell>
          <cell r="I17" t="str">
            <v>Teller</v>
          </cell>
          <cell r="J17">
            <v>40307</v>
          </cell>
        </row>
        <row r="18">
          <cell r="A18" t="str">
            <v>احمد محمد السيد محمد السيد</v>
          </cell>
          <cell r="B18">
            <v>9190308</v>
          </cell>
          <cell r="C18">
            <v>81013</v>
          </cell>
          <cell r="D18">
            <v>27053</v>
          </cell>
          <cell r="E18">
            <v>47</v>
          </cell>
          <cell r="F18">
            <v>19640</v>
          </cell>
          <cell r="G18" t="str">
            <v>الادارة</v>
          </cell>
          <cell r="H18">
            <v>2</v>
          </cell>
          <cell r="I18" t="str">
            <v>Physical Security</v>
          </cell>
          <cell r="J18">
            <v>40308</v>
          </cell>
        </row>
        <row r="19">
          <cell r="A19" t="str">
            <v xml:space="preserve">أحمد محمد حسن عبد الرحمن </v>
          </cell>
          <cell r="B19">
            <v>9191612</v>
          </cell>
          <cell r="C19">
            <v>81014</v>
          </cell>
          <cell r="D19">
            <v>30537</v>
          </cell>
          <cell r="E19">
            <v>37</v>
          </cell>
          <cell r="F19">
            <v>18860</v>
          </cell>
          <cell r="G19" t="str">
            <v>الادارة</v>
          </cell>
          <cell r="H19">
            <v>7</v>
          </cell>
          <cell r="I19" t="str">
            <v>Call Center</v>
          </cell>
          <cell r="J19">
            <v>41612</v>
          </cell>
        </row>
        <row r="20">
          <cell r="A20" t="str">
            <v>احمد نصر عبده محمد علي</v>
          </cell>
          <cell r="B20">
            <v>9203844</v>
          </cell>
          <cell r="C20">
            <v>81015</v>
          </cell>
          <cell r="D20">
            <v>30537</v>
          </cell>
          <cell r="E20">
            <v>37</v>
          </cell>
          <cell r="F20">
            <v>18860</v>
          </cell>
          <cell r="G20" t="str">
            <v>الادارة</v>
          </cell>
          <cell r="H20">
            <v>7</v>
          </cell>
          <cell r="I20" t="str">
            <v>FCC</v>
          </cell>
          <cell r="J20">
            <v>43844</v>
          </cell>
        </row>
        <row r="21">
          <cell r="A21" t="str">
            <v>ارميا رافت رفعت جبره</v>
          </cell>
          <cell r="B21">
            <v>9203846</v>
          </cell>
          <cell r="C21">
            <v>81016</v>
          </cell>
          <cell r="D21">
            <v>30537</v>
          </cell>
          <cell r="E21">
            <v>37</v>
          </cell>
          <cell r="F21">
            <v>18860</v>
          </cell>
          <cell r="G21" t="str">
            <v>الادارة</v>
          </cell>
          <cell r="H21">
            <v>7</v>
          </cell>
          <cell r="I21" t="str">
            <v>Credit</v>
          </cell>
          <cell r="J21">
            <v>43846</v>
          </cell>
        </row>
        <row r="22">
          <cell r="A22" t="str">
            <v>اسلام احمد ابراهيم احمد</v>
          </cell>
          <cell r="B22">
            <v>9190001</v>
          </cell>
          <cell r="C22">
            <v>81017</v>
          </cell>
          <cell r="D22">
            <v>30000</v>
          </cell>
          <cell r="E22">
            <v>39</v>
          </cell>
          <cell r="F22">
            <v>19480</v>
          </cell>
          <cell r="G22" t="str">
            <v>شرم الشيخ</v>
          </cell>
          <cell r="H22">
            <v>7</v>
          </cell>
          <cell r="I22" t="str">
            <v>CS</v>
          </cell>
          <cell r="J22">
            <v>40001</v>
          </cell>
        </row>
        <row r="23">
          <cell r="A23" t="str">
            <v>اسماعيل قاسم جمعه ابو الليف</v>
          </cell>
          <cell r="B23">
            <v>9190770</v>
          </cell>
          <cell r="C23">
            <v>81018</v>
          </cell>
          <cell r="D23">
            <v>30256</v>
          </cell>
          <cell r="E23">
            <v>38</v>
          </cell>
          <cell r="F23">
            <v>19470</v>
          </cell>
          <cell r="G23" t="str">
            <v>الادارة</v>
          </cell>
          <cell r="H23">
            <v>7</v>
          </cell>
          <cell r="I23" t="str">
            <v>Call Center</v>
          </cell>
          <cell r="J23">
            <v>40770</v>
          </cell>
        </row>
        <row r="24">
          <cell r="A24" t="str">
            <v>اندرو داود ابراهيم نصر</v>
          </cell>
          <cell r="B24">
            <v>9190751</v>
          </cell>
          <cell r="C24">
            <v>81019</v>
          </cell>
          <cell r="D24">
            <v>30250</v>
          </cell>
          <cell r="E24">
            <v>38</v>
          </cell>
          <cell r="F24">
            <v>19020</v>
          </cell>
          <cell r="G24" t="str">
            <v>مرسى مطروح</v>
          </cell>
          <cell r="H24">
            <v>7</v>
          </cell>
          <cell r="I24" t="str">
            <v>CS</v>
          </cell>
          <cell r="J24">
            <v>40751</v>
          </cell>
        </row>
        <row r="25">
          <cell r="A25" t="str">
            <v>إيمان علي هاشم محمد سيد</v>
          </cell>
          <cell r="B25">
            <v>9191524</v>
          </cell>
          <cell r="C25">
            <v>81020</v>
          </cell>
          <cell r="D25">
            <v>30508</v>
          </cell>
          <cell r="E25">
            <v>37</v>
          </cell>
          <cell r="F25">
            <v>18870</v>
          </cell>
          <cell r="G25" t="str">
            <v>بورسعيد</v>
          </cell>
          <cell r="H25">
            <v>7</v>
          </cell>
          <cell r="I25" t="str">
            <v>CS</v>
          </cell>
          <cell r="J25">
            <v>41524</v>
          </cell>
        </row>
        <row r="26">
          <cell r="A26" t="str">
            <v xml:space="preserve">ايه خالد محمد حسين </v>
          </cell>
          <cell r="B26">
            <v>9203861</v>
          </cell>
          <cell r="C26">
            <v>81021</v>
          </cell>
          <cell r="D26">
            <v>30537</v>
          </cell>
          <cell r="E26">
            <v>37</v>
          </cell>
          <cell r="F26">
            <v>18860</v>
          </cell>
          <cell r="G26" t="str">
            <v>الادارة</v>
          </cell>
          <cell r="H26">
            <v>7</v>
          </cell>
          <cell r="I26" t="str">
            <v>FCC</v>
          </cell>
          <cell r="J26">
            <v>43861</v>
          </cell>
        </row>
        <row r="27">
          <cell r="A27" t="str">
            <v>باهر ايمن ابو القاسم سيد</v>
          </cell>
          <cell r="B27">
            <v>9180377</v>
          </cell>
          <cell r="C27">
            <v>81022</v>
          </cell>
          <cell r="D27">
            <v>26792</v>
          </cell>
          <cell r="E27">
            <v>47</v>
          </cell>
          <cell r="F27">
            <v>24030</v>
          </cell>
          <cell r="G27" t="str">
            <v>المنيا</v>
          </cell>
          <cell r="H27">
            <v>4</v>
          </cell>
          <cell r="I27" t="str">
            <v>Treasury</v>
          </cell>
          <cell r="J27">
            <v>40377</v>
          </cell>
        </row>
        <row r="28">
          <cell r="A28" t="str">
            <v>بولا مجدى نيسان فهيم</v>
          </cell>
          <cell r="B28">
            <v>9180392</v>
          </cell>
          <cell r="C28">
            <v>81023</v>
          </cell>
          <cell r="D28">
            <v>26797</v>
          </cell>
          <cell r="E28">
            <v>47</v>
          </cell>
          <cell r="F28">
            <v>23930</v>
          </cell>
          <cell r="G28" t="str">
            <v>العين السخنة</v>
          </cell>
          <cell r="H28">
            <v>4</v>
          </cell>
          <cell r="I28" t="str">
            <v>Treasury</v>
          </cell>
          <cell r="J28">
            <v>40392</v>
          </cell>
        </row>
        <row r="29">
          <cell r="A29" t="str">
            <v>بيتر نظمى عبده متى ابو السعد</v>
          </cell>
          <cell r="B29">
            <v>9203869</v>
          </cell>
          <cell r="C29">
            <v>81024</v>
          </cell>
          <cell r="D29">
            <v>30537</v>
          </cell>
          <cell r="E29">
            <v>37</v>
          </cell>
          <cell r="F29">
            <v>18860</v>
          </cell>
          <cell r="G29" t="str">
            <v>الوادى الجديد</v>
          </cell>
          <cell r="H29">
            <v>7</v>
          </cell>
          <cell r="I29" t="str">
            <v>CS</v>
          </cell>
          <cell r="J29">
            <v>43869</v>
          </cell>
        </row>
        <row r="30">
          <cell r="A30" t="str">
            <v>تقى اشرف مصطفى سيد حسن</v>
          </cell>
          <cell r="B30">
            <v>9190781</v>
          </cell>
          <cell r="C30">
            <v>81025</v>
          </cell>
          <cell r="D30">
            <v>22695</v>
          </cell>
          <cell r="E30">
            <v>59</v>
          </cell>
          <cell r="F30">
            <v>29480</v>
          </cell>
          <cell r="G30" t="str">
            <v>فايد</v>
          </cell>
          <cell r="H30">
            <v>3</v>
          </cell>
          <cell r="I30" t="str">
            <v>Branch manager</v>
          </cell>
          <cell r="J30">
            <v>40781</v>
          </cell>
        </row>
        <row r="31">
          <cell r="A31" t="str">
            <v>خالد فايز احمد عامر</v>
          </cell>
          <cell r="B31">
            <v>9180504</v>
          </cell>
          <cell r="C31">
            <v>81026</v>
          </cell>
          <cell r="D31">
            <v>26834</v>
          </cell>
          <cell r="E31">
            <v>47</v>
          </cell>
          <cell r="F31">
            <v>23760</v>
          </cell>
          <cell r="G31" t="str">
            <v>العلمين</v>
          </cell>
          <cell r="H31">
            <v>4</v>
          </cell>
          <cell r="I31" t="str">
            <v>Treasury</v>
          </cell>
          <cell r="J31">
            <v>40504</v>
          </cell>
        </row>
        <row r="32">
          <cell r="A32" t="str">
            <v xml:space="preserve">خالد فايز احمد عبدالله </v>
          </cell>
          <cell r="B32">
            <v>9191891</v>
          </cell>
          <cell r="C32">
            <v>81027</v>
          </cell>
          <cell r="D32">
            <v>30630</v>
          </cell>
          <cell r="E32">
            <v>37</v>
          </cell>
          <cell r="F32">
            <v>18790</v>
          </cell>
          <cell r="G32" t="str">
            <v>بنى سويف</v>
          </cell>
          <cell r="H32">
            <v>8</v>
          </cell>
          <cell r="I32" t="str">
            <v>Teller</v>
          </cell>
          <cell r="J32">
            <v>41891</v>
          </cell>
        </row>
        <row r="33">
          <cell r="A33" t="str">
            <v>رؤى طارق محمد خلاف</v>
          </cell>
          <cell r="B33">
            <v>9203886</v>
          </cell>
          <cell r="C33">
            <v>81028</v>
          </cell>
          <cell r="D33">
            <v>30537</v>
          </cell>
          <cell r="E33">
            <v>37</v>
          </cell>
          <cell r="F33">
            <v>18860</v>
          </cell>
          <cell r="G33" t="str">
            <v>الاقصر</v>
          </cell>
          <cell r="H33">
            <v>7</v>
          </cell>
          <cell r="I33" t="str">
            <v>Teller</v>
          </cell>
          <cell r="J33">
            <v>43886</v>
          </cell>
        </row>
        <row r="34">
          <cell r="A34" t="str">
            <v>رحمة محمد جمال على على</v>
          </cell>
          <cell r="B34">
            <v>9190173</v>
          </cell>
          <cell r="C34">
            <v>81029</v>
          </cell>
          <cell r="D34">
            <v>30057</v>
          </cell>
          <cell r="E34">
            <v>38</v>
          </cell>
          <cell r="F34">
            <v>19420</v>
          </cell>
          <cell r="G34" t="str">
            <v>سوهاج</v>
          </cell>
          <cell r="H34">
            <v>7</v>
          </cell>
          <cell r="I34" t="str">
            <v>Teller</v>
          </cell>
          <cell r="J34">
            <v>40173</v>
          </cell>
        </row>
        <row r="35">
          <cell r="A35" t="str">
            <v>زياد عماد محمود عبد السلام</v>
          </cell>
          <cell r="B35">
            <v>9190172</v>
          </cell>
          <cell r="C35">
            <v>81030</v>
          </cell>
          <cell r="D35">
            <v>30057</v>
          </cell>
          <cell r="E35">
            <v>38</v>
          </cell>
          <cell r="F35">
            <v>19420</v>
          </cell>
          <cell r="G35" t="str">
            <v>بنى عبيد</v>
          </cell>
          <cell r="H35">
            <v>7</v>
          </cell>
          <cell r="I35" t="str">
            <v>Teller</v>
          </cell>
          <cell r="J35">
            <v>40172</v>
          </cell>
        </row>
        <row r="36">
          <cell r="A36" t="str">
            <v>شروق ابراهيم سعيد ابراهيم</v>
          </cell>
          <cell r="B36">
            <v>9190672</v>
          </cell>
          <cell r="C36">
            <v>81031</v>
          </cell>
          <cell r="D36">
            <v>30224</v>
          </cell>
          <cell r="E36">
            <v>38</v>
          </cell>
          <cell r="F36">
            <v>19560</v>
          </cell>
          <cell r="G36" t="str">
            <v>قنا</v>
          </cell>
          <cell r="H36">
            <v>7</v>
          </cell>
          <cell r="I36" t="str">
            <v>Teller</v>
          </cell>
          <cell r="J36">
            <v>40672</v>
          </cell>
        </row>
        <row r="37">
          <cell r="A37" t="str">
            <v>شهاب احمد رجائي ابراهيم</v>
          </cell>
          <cell r="B37">
            <v>9190574</v>
          </cell>
          <cell r="C37">
            <v>81032</v>
          </cell>
          <cell r="D37">
            <v>30191</v>
          </cell>
          <cell r="E37">
            <v>38</v>
          </cell>
          <cell r="F37">
            <v>19650</v>
          </cell>
          <cell r="G37" t="str">
            <v>المنوفية</v>
          </cell>
          <cell r="H37">
            <v>7</v>
          </cell>
          <cell r="I37" t="str">
            <v>Teller</v>
          </cell>
          <cell r="J37">
            <v>40574</v>
          </cell>
        </row>
        <row r="38">
          <cell r="A38" t="str">
            <v>شهاب اسامه محمد عبد العزيز جمعه</v>
          </cell>
          <cell r="B38">
            <v>9190576</v>
          </cell>
          <cell r="C38">
            <v>81033</v>
          </cell>
          <cell r="D38">
            <v>30192</v>
          </cell>
          <cell r="E38">
            <v>38</v>
          </cell>
          <cell r="F38">
            <v>19630</v>
          </cell>
          <cell r="G38" t="str">
            <v>البحيرة</v>
          </cell>
          <cell r="H38">
            <v>7</v>
          </cell>
          <cell r="I38" t="str">
            <v>Teller</v>
          </cell>
          <cell r="J38">
            <v>40576</v>
          </cell>
        </row>
        <row r="39">
          <cell r="A39" t="str">
            <v>صلاح محمود ميمون صابر</v>
          </cell>
          <cell r="B39">
            <v>9191168</v>
          </cell>
          <cell r="C39">
            <v>81034</v>
          </cell>
          <cell r="D39">
            <v>30389</v>
          </cell>
          <cell r="E39">
            <v>37</v>
          </cell>
          <cell r="F39">
            <v>19010</v>
          </cell>
          <cell r="G39" t="str">
            <v>الادارة</v>
          </cell>
          <cell r="H39">
            <v>7</v>
          </cell>
          <cell r="I39" t="str">
            <v>KYC</v>
          </cell>
          <cell r="J39">
            <v>41168</v>
          </cell>
        </row>
        <row r="40">
          <cell r="A40" t="str">
            <v xml:space="preserve">طارق ايمن كامل محمد محفوظ </v>
          </cell>
          <cell r="B40">
            <v>9203900</v>
          </cell>
          <cell r="C40">
            <v>81035</v>
          </cell>
          <cell r="D40">
            <v>25772</v>
          </cell>
          <cell r="E40">
            <v>50</v>
          </cell>
          <cell r="F40">
            <v>25130</v>
          </cell>
          <cell r="G40" t="str">
            <v>اكتوبر</v>
          </cell>
          <cell r="H40">
            <v>3</v>
          </cell>
          <cell r="I40" t="str">
            <v>Treasury</v>
          </cell>
          <cell r="J40">
            <v>43900</v>
          </cell>
        </row>
        <row r="41">
          <cell r="A41" t="str">
            <v>عبدالرحمن ياسين عمر احمد محمد</v>
          </cell>
          <cell r="B41">
            <v>9180791</v>
          </cell>
          <cell r="C41">
            <v>81036</v>
          </cell>
          <cell r="D41">
            <v>26930</v>
          </cell>
          <cell r="E41">
            <v>47</v>
          </cell>
          <cell r="F41">
            <v>23630</v>
          </cell>
          <cell r="G41" t="str">
            <v>الساحل الشمالى</v>
          </cell>
          <cell r="H41">
            <v>4</v>
          </cell>
          <cell r="I41" t="str">
            <v>Treasury</v>
          </cell>
          <cell r="J41">
            <v>40791</v>
          </cell>
        </row>
        <row r="42">
          <cell r="A42" t="str">
            <v>عبد العزيز احمد عبد الله حميد</v>
          </cell>
          <cell r="B42">
            <v>9190283</v>
          </cell>
          <cell r="C42">
            <v>81037</v>
          </cell>
          <cell r="D42">
            <v>30094</v>
          </cell>
          <cell r="E42">
            <v>38</v>
          </cell>
          <cell r="F42">
            <v>19230</v>
          </cell>
          <cell r="G42" t="str">
            <v>طنطا</v>
          </cell>
          <cell r="H42">
            <v>7</v>
          </cell>
          <cell r="I42" t="str">
            <v>Teller</v>
          </cell>
          <cell r="J42">
            <v>40283</v>
          </cell>
        </row>
        <row r="43">
          <cell r="A43" t="str">
            <v>على سلامة حسين محمد السقا</v>
          </cell>
          <cell r="B43">
            <v>9190344</v>
          </cell>
          <cell r="C43">
            <v>81038</v>
          </cell>
          <cell r="D43">
            <v>30114</v>
          </cell>
          <cell r="E43">
            <v>38</v>
          </cell>
          <cell r="F43">
            <v>19400</v>
          </cell>
          <cell r="G43" t="str">
            <v>دمياط</v>
          </cell>
          <cell r="H43">
            <v>6</v>
          </cell>
          <cell r="I43" t="str">
            <v>Teller</v>
          </cell>
          <cell r="J43">
            <v>40344</v>
          </cell>
        </row>
        <row r="44">
          <cell r="A44" t="str">
            <v>عماد الدين سمير عبدالحميد بدران</v>
          </cell>
          <cell r="B44">
            <v>9191500</v>
          </cell>
          <cell r="C44">
            <v>81039</v>
          </cell>
          <cell r="D44">
            <v>30500</v>
          </cell>
          <cell r="E44">
            <v>37</v>
          </cell>
          <cell r="F44">
            <v>19030</v>
          </cell>
          <cell r="G44" t="str">
            <v>كفر الشيخ</v>
          </cell>
          <cell r="H44">
            <v>7</v>
          </cell>
          <cell r="I44" t="str">
            <v>Teller</v>
          </cell>
          <cell r="J44">
            <v>41500</v>
          </cell>
        </row>
        <row r="45">
          <cell r="A45" t="str">
            <v>عمر محمود على عبد العال سيد</v>
          </cell>
          <cell r="B45">
            <v>9191091</v>
          </cell>
          <cell r="C45">
            <v>81040</v>
          </cell>
          <cell r="D45">
            <v>30363</v>
          </cell>
          <cell r="E45">
            <v>38</v>
          </cell>
          <cell r="F45">
            <v>19020</v>
          </cell>
          <cell r="G45" t="str">
            <v>المنيا</v>
          </cell>
          <cell r="H45">
            <v>7</v>
          </cell>
          <cell r="I45" t="str">
            <v>Teller</v>
          </cell>
          <cell r="J45">
            <v>41091</v>
          </cell>
        </row>
        <row r="46">
          <cell r="A46" t="str">
            <v>فادى عبدالشهيد ابراهيم حبيب</v>
          </cell>
          <cell r="B46">
            <v>9181003</v>
          </cell>
          <cell r="C46">
            <v>81041</v>
          </cell>
          <cell r="D46">
            <v>27001</v>
          </cell>
          <cell r="E46">
            <v>47</v>
          </cell>
          <cell r="F46">
            <v>23880</v>
          </cell>
          <cell r="G46" t="str">
            <v>القرية الذكية</v>
          </cell>
          <cell r="H46">
            <v>4</v>
          </cell>
          <cell r="I46" t="str">
            <v>Treasury</v>
          </cell>
          <cell r="J46">
            <v>41003</v>
          </cell>
        </row>
        <row r="47">
          <cell r="A47" t="str">
            <v>فادى كمال نعيم انطون</v>
          </cell>
          <cell r="B47">
            <v>9190249</v>
          </cell>
          <cell r="C47">
            <v>81042</v>
          </cell>
          <cell r="D47">
            <v>30083</v>
          </cell>
          <cell r="E47">
            <v>38</v>
          </cell>
          <cell r="F47">
            <v>19450</v>
          </cell>
          <cell r="G47" t="str">
            <v>الادارة</v>
          </cell>
          <cell r="H47">
            <v>6</v>
          </cell>
          <cell r="I47" t="str">
            <v>KYC</v>
          </cell>
          <cell r="J47">
            <v>40249</v>
          </cell>
        </row>
        <row r="48">
          <cell r="A48" t="str">
            <v>فرح اسامه عبد الكريم محمد</v>
          </cell>
          <cell r="B48">
            <v>9190530</v>
          </cell>
          <cell r="C48">
            <v>81043</v>
          </cell>
          <cell r="D48">
            <v>30176</v>
          </cell>
          <cell r="E48">
            <v>38</v>
          </cell>
          <cell r="F48">
            <v>19280</v>
          </cell>
          <cell r="G48" t="str">
            <v>فايد</v>
          </cell>
          <cell r="H48">
            <v>6</v>
          </cell>
          <cell r="I48" t="str">
            <v>Teller</v>
          </cell>
          <cell r="J48">
            <v>40530</v>
          </cell>
        </row>
        <row r="49">
          <cell r="A49" t="str">
            <v>فرحه محمد السيد محمدين</v>
          </cell>
          <cell r="B49">
            <v>9190241</v>
          </cell>
          <cell r="C49">
            <v>81044</v>
          </cell>
          <cell r="D49">
            <v>30080</v>
          </cell>
          <cell r="E49">
            <v>38</v>
          </cell>
          <cell r="F49">
            <v>19510</v>
          </cell>
          <cell r="G49" t="str">
            <v>الادارة</v>
          </cell>
          <cell r="H49">
            <v>6</v>
          </cell>
          <cell r="I49" t="str">
            <v>FCC</v>
          </cell>
          <cell r="J49">
            <v>40241</v>
          </cell>
        </row>
        <row r="50">
          <cell r="A50" t="str">
            <v>فليمون مينا اسطفانوس مينا</v>
          </cell>
          <cell r="B50">
            <v>9190529</v>
          </cell>
          <cell r="C50">
            <v>81045</v>
          </cell>
          <cell r="D50">
            <v>30176</v>
          </cell>
          <cell r="E50">
            <v>38</v>
          </cell>
          <cell r="F50">
            <v>19280</v>
          </cell>
          <cell r="G50" t="str">
            <v>الادارة</v>
          </cell>
          <cell r="H50">
            <v>6</v>
          </cell>
          <cell r="I50" t="str">
            <v>Call Center</v>
          </cell>
          <cell r="J50">
            <v>40529</v>
          </cell>
        </row>
        <row r="51">
          <cell r="A51" t="str">
            <v>كريم حسام الشافعى عبدالعزيز</v>
          </cell>
          <cell r="B51">
            <v>9191420</v>
          </cell>
          <cell r="C51">
            <v>81046</v>
          </cell>
          <cell r="D51">
            <v>30473</v>
          </cell>
          <cell r="E51">
            <v>37</v>
          </cell>
          <cell r="F51">
            <v>19020</v>
          </cell>
          <cell r="G51" t="str">
            <v>الادارة</v>
          </cell>
          <cell r="H51">
            <v>7</v>
          </cell>
          <cell r="I51" t="str">
            <v>Call Center</v>
          </cell>
          <cell r="J51">
            <v>41420</v>
          </cell>
        </row>
        <row r="52">
          <cell r="A52" t="str">
            <v>كريم حسين خيرى غنيم</v>
          </cell>
          <cell r="B52">
            <v>9191277</v>
          </cell>
          <cell r="C52">
            <v>81047</v>
          </cell>
          <cell r="D52">
            <v>25776</v>
          </cell>
          <cell r="E52">
            <v>50</v>
          </cell>
          <cell r="F52">
            <v>25050</v>
          </cell>
          <cell r="G52" t="str">
            <v>القرية الذكية</v>
          </cell>
          <cell r="H52">
            <v>3</v>
          </cell>
          <cell r="I52" t="str">
            <v>Branch manager</v>
          </cell>
          <cell r="J52">
            <v>41277</v>
          </cell>
        </row>
        <row r="53">
          <cell r="A53" t="str">
            <v>محمد احمد سمير الشامى</v>
          </cell>
          <cell r="B53">
            <v>9191117</v>
          </cell>
          <cell r="C53">
            <v>81048</v>
          </cell>
          <cell r="D53">
            <v>30372</v>
          </cell>
          <cell r="E53">
            <v>38</v>
          </cell>
          <cell r="F53">
            <v>18840</v>
          </cell>
          <cell r="G53" t="str">
            <v>المهندسين</v>
          </cell>
          <cell r="H53">
            <v>7</v>
          </cell>
          <cell r="I53" t="str">
            <v>Teller</v>
          </cell>
          <cell r="J53">
            <v>41117</v>
          </cell>
        </row>
        <row r="54">
          <cell r="A54" t="str">
            <v>محمد جمال عبد الحكيم احمد محمود الجندى</v>
          </cell>
          <cell r="B54">
            <v>9191571</v>
          </cell>
          <cell r="C54">
            <v>81049</v>
          </cell>
          <cell r="D54">
            <v>30523</v>
          </cell>
          <cell r="E54">
            <v>37</v>
          </cell>
          <cell r="F54">
            <v>18570</v>
          </cell>
          <cell r="G54" t="str">
            <v>المنصورة</v>
          </cell>
          <cell r="H54">
            <v>7</v>
          </cell>
          <cell r="I54" t="str">
            <v>Operation</v>
          </cell>
          <cell r="J54">
            <v>41571</v>
          </cell>
        </row>
        <row r="55">
          <cell r="A55" t="str">
            <v>محمد جمال عبدالناصر محمد قاسم</v>
          </cell>
          <cell r="B55">
            <v>9191095</v>
          </cell>
          <cell r="C55">
            <v>81050</v>
          </cell>
          <cell r="D55">
            <v>30365</v>
          </cell>
          <cell r="E55">
            <v>38</v>
          </cell>
          <cell r="F55">
            <v>18980</v>
          </cell>
          <cell r="G55" t="str">
            <v>الادارة</v>
          </cell>
          <cell r="H55">
            <v>7</v>
          </cell>
          <cell r="I55" t="str">
            <v>Call Center</v>
          </cell>
          <cell r="J55">
            <v>41095</v>
          </cell>
        </row>
        <row r="56">
          <cell r="A56" t="str">
            <v>محمد حسام محمد شرقاوى</v>
          </cell>
          <cell r="B56">
            <v>9190703</v>
          </cell>
          <cell r="C56">
            <v>81051</v>
          </cell>
          <cell r="D56">
            <v>30234</v>
          </cell>
          <cell r="E56">
            <v>38</v>
          </cell>
          <cell r="F56">
            <v>19340</v>
          </cell>
          <cell r="G56" t="str">
            <v>الادارة</v>
          </cell>
          <cell r="H56">
            <v>7</v>
          </cell>
          <cell r="I56" t="str">
            <v>Call Center</v>
          </cell>
          <cell r="J56">
            <v>40703</v>
          </cell>
        </row>
        <row r="57">
          <cell r="A57" t="str">
            <v>محمد حسام محمد عبدالحميد عبدالجليل</v>
          </cell>
          <cell r="B57">
            <v>9191417</v>
          </cell>
          <cell r="C57">
            <v>81052</v>
          </cell>
          <cell r="D57">
            <v>30472</v>
          </cell>
          <cell r="E57">
            <v>37</v>
          </cell>
          <cell r="F57">
            <v>19040</v>
          </cell>
          <cell r="G57" t="str">
            <v>القاهرة الجديدة</v>
          </cell>
          <cell r="H57">
            <v>7</v>
          </cell>
          <cell r="I57" t="str">
            <v>Teller</v>
          </cell>
          <cell r="J57">
            <v>41417</v>
          </cell>
        </row>
        <row r="58">
          <cell r="A58" t="str">
            <v>محمد حمدي محمود اسماعيل</v>
          </cell>
          <cell r="B58">
            <v>9191649</v>
          </cell>
          <cell r="C58">
            <v>81053</v>
          </cell>
          <cell r="D58">
            <v>30549</v>
          </cell>
          <cell r="E58">
            <v>37</v>
          </cell>
          <cell r="F58">
            <v>18620</v>
          </cell>
          <cell r="G58" t="str">
            <v>الادارة</v>
          </cell>
          <cell r="H58">
            <v>7</v>
          </cell>
          <cell r="I58" t="str">
            <v>KYC</v>
          </cell>
          <cell r="J58">
            <v>41649</v>
          </cell>
        </row>
        <row r="59">
          <cell r="A59" t="str">
            <v>محمد خالد جمال على</v>
          </cell>
          <cell r="B59">
            <v>9191185</v>
          </cell>
          <cell r="C59">
            <v>81054</v>
          </cell>
          <cell r="D59">
            <v>30395</v>
          </cell>
          <cell r="E59">
            <v>37</v>
          </cell>
          <cell r="F59">
            <v>18890</v>
          </cell>
          <cell r="G59" t="str">
            <v>الادارة</v>
          </cell>
          <cell r="H59">
            <v>7</v>
          </cell>
          <cell r="I59" t="str">
            <v>Call Center</v>
          </cell>
          <cell r="J59">
            <v>41185</v>
          </cell>
        </row>
        <row r="60">
          <cell r="A60" t="str">
            <v>محمد خالد محمود مغازى</v>
          </cell>
          <cell r="B60">
            <v>9190314</v>
          </cell>
          <cell r="C60">
            <v>81055</v>
          </cell>
          <cell r="D60">
            <v>30104</v>
          </cell>
          <cell r="E60">
            <v>38</v>
          </cell>
          <cell r="F60">
            <v>19600</v>
          </cell>
          <cell r="G60" t="str">
            <v>المعادى</v>
          </cell>
          <cell r="H60">
            <v>6</v>
          </cell>
          <cell r="I60" t="str">
            <v>Operation</v>
          </cell>
          <cell r="J60">
            <v>40314</v>
          </cell>
        </row>
        <row r="61">
          <cell r="A61" t="str">
            <v>محمد رزق بيومى محمد احمد</v>
          </cell>
          <cell r="B61">
            <v>9190300</v>
          </cell>
          <cell r="C61">
            <v>81056</v>
          </cell>
          <cell r="D61">
            <v>30100</v>
          </cell>
          <cell r="E61">
            <v>38</v>
          </cell>
          <cell r="F61">
            <v>19680</v>
          </cell>
          <cell r="G61" t="str">
            <v>الادارة</v>
          </cell>
          <cell r="H61">
            <v>6</v>
          </cell>
          <cell r="I61" t="str">
            <v>Call Center</v>
          </cell>
          <cell r="J61">
            <v>40300</v>
          </cell>
        </row>
        <row r="62">
          <cell r="A62" t="str">
            <v>محمد زكريا سيد سيد ابو سبع</v>
          </cell>
          <cell r="B62">
            <v>9191456</v>
          </cell>
          <cell r="C62">
            <v>81057</v>
          </cell>
          <cell r="D62">
            <v>30485</v>
          </cell>
          <cell r="E62">
            <v>37</v>
          </cell>
          <cell r="F62">
            <v>18780</v>
          </cell>
          <cell r="G62" t="str">
            <v>المنيل</v>
          </cell>
          <cell r="H62">
            <v>7</v>
          </cell>
          <cell r="I62" t="str">
            <v>Teller</v>
          </cell>
          <cell r="J62">
            <v>41456</v>
          </cell>
        </row>
        <row r="63">
          <cell r="A63" t="str">
            <v>محمد شحته غريب محمد</v>
          </cell>
          <cell r="B63">
            <v>9190710</v>
          </cell>
          <cell r="C63">
            <v>81058</v>
          </cell>
          <cell r="D63">
            <v>30236</v>
          </cell>
          <cell r="E63">
            <v>38</v>
          </cell>
          <cell r="F63">
            <v>19300</v>
          </cell>
          <cell r="G63" t="str">
            <v>الادارة</v>
          </cell>
          <cell r="H63">
            <v>7</v>
          </cell>
          <cell r="I63" t="str">
            <v>KYC</v>
          </cell>
          <cell r="J63">
            <v>40710</v>
          </cell>
        </row>
        <row r="64">
          <cell r="A64" t="str">
            <v>محمد شعراوى محمد على عاشور</v>
          </cell>
          <cell r="B64">
            <v>9191158</v>
          </cell>
          <cell r="C64">
            <v>81059</v>
          </cell>
          <cell r="D64">
            <v>30386</v>
          </cell>
          <cell r="E64">
            <v>37</v>
          </cell>
          <cell r="F64">
            <v>19070</v>
          </cell>
          <cell r="G64" t="str">
            <v>شبرا</v>
          </cell>
          <cell r="H64">
            <v>7</v>
          </cell>
          <cell r="I64" t="str">
            <v>Teller</v>
          </cell>
          <cell r="J64">
            <v>41158</v>
          </cell>
        </row>
        <row r="65">
          <cell r="A65" t="str">
            <v>محمد طارق محمد امين محمد</v>
          </cell>
          <cell r="B65">
            <v>9190316</v>
          </cell>
          <cell r="C65">
            <v>81060</v>
          </cell>
          <cell r="D65">
            <v>30105</v>
          </cell>
          <cell r="E65">
            <v>38</v>
          </cell>
          <cell r="F65">
            <v>19580</v>
          </cell>
          <cell r="G65" t="str">
            <v>فيصل</v>
          </cell>
          <cell r="H65">
            <v>6</v>
          </cell>
          <cell r="I65" t="str">
            <v>Teller</v>
          </cell>
          <cell r="J65">
            <v>40316</v>
          </cell>
        </row>
        <row r="66">
          <cell r="A66" t="str">
            <v>محمد عاطف محمد محمد خليل</v>
          </cell>
          <cell r="B66">
            <v>9190369</v>
          </cell>
          <cell r="C66">
            <v>81061</v>
          </cell>
          <cell r="D66">
            <v>27932</v>
          </cell>
          <cell r="E66">
            <v>44</v>
          </cell>
          <cell r="F66">
            <v>19220</v>
          </cell>
          <cell r="G66" t="str">
            <v>الادارة</v>
          </cell>
          <cell r="H66">
            <v>2</v>
          </cell>
          <cell r="I66" t="str">
            <v>RC</v>
          </cell>
          <cell r="J66">
            <v>40369</v>
          </cell>
        </row>
        <row r="67">
          <cell r="A67" t="str">
            <v>محمد عاطف محمود علي</v>
          </cell>
          <cell r="B67">
            <v>9190259</v>
          </cell>
          <cell r="C67">
            <v>81062</v>
          </cell>
          <cell r="D67">
            <v>30086</v>
          </cell>
          <cell r="E67">
            <v>38</v>
          </cell>
          <cell r="F67">
            <v>19390</v>
          </cell>
          <cell r="G67" t="str">
            <v>القاهرة</v>
          </cell>
          <cell r="H67">
            <v>6</v>
          </cell>
          <cell r="I67" t="str">
            <v>CS</v>
          </cell>
          <cell r="J67">
            <v>40259</v>
          </cell>
        </row>
        <row r="68">
          <cell r="A68" t="str">
            <v>محمد عصام الدين رجب قناوى</v>
          </cell>
          <cell r="B68">
            <v>9191113</v>
          </cell>
          <cell r="C68">
            <v>81063</v>
          </cell>
          <cell r="D68">
            <v>30371</v>
          </cell>
          <cell r="E68">
            <v>38</v>
          </cell>
          <cell r="F68">
            <v>18860</v>
          </cell>
          <cell r="G68" t="str">
            <v>الاسكندرية</v>
          </cell>
          <cell r="H68">
            <v>7</v>
          </cell>
          <cell r="I68" t="str">
            <v>GTRF</v>
          </cell>
          <cell r="J68">
            <v>41113</v>
          </cell>
        </row>
        <row r="69">
          <cell r="A69" t="str">
            <v>محمد علاء الدين صلاح محمود</v>
          </cell>
          <cell r="B69">
            <v>9190248</v>
          </cell>
          <cell r="C69">
            <v>81064</v>
          </cell>
          <cell r="D69">
            <v>30082</v>
          </cell>
          <cell r="E69">
            <v>38</v>
          </cell>
          <cell r="F69">
            <v>19470</v>
          </cell>
          <cell r="G69" t="str">
            <v>اسوان</v>
          </cell>
          <cell r="H69">
            <v>6</v>
          </cell>
          <cell r="I69" t="str">
            <v>Teller</v>
          </cell>
          <cell r="J69">
            <v>40248</v>
          </cell>
        </row>
        <row r="70">
          <cell r="A70" t="str">
            <v>محمد مصطفى هدايا صالح وهدان</v>
          </cell>
          <cell r="B70">
            <v>9190548</v>
          </cell>
          <cell r="C70">
            <v>81065</v>
          </cell>
          <cell r="D70">
            <v>30182</v>
          </cell>
          <cell r="E70">
            <v>38</v>
          </cell>
          <cell r="F70">
            <v>19160</v>
          </cell>
          <cell r="G70" t="str">
            <v>شرم الشيخ</v>
          </cell>
          <cell r="H70">
            <v>6</v>
          </cell>
          <cell r="I70" t="str">
            <v>Teller</v>
          </cell>
          <cell r="J70">
            <v>40548</v>
          </cell>
        </row>
        <row r="71">
          <cell r="A71" t="str">
            <v>محمد ممدوح حسين السيد</v>
          </cell>
          <cell r="B71">
            <v>9191428</v>
          </cell>
          <cell r="C71">
            <v>81066</v>
          </cell>
          <cell r="D71">
            <v>30476</v>
          </cell>
          <cell r="E71">
            <v>37</v>
          </cell>
          <cell r="F71">
            <v>18960</v>
          </cell>
          <cell r="G71" t="str">
            <v>الدقهلية</v>
          </cell>
          <cell r="H71">
            <v>7</v>
          </cell>
          <cell r="I71" t="str">
            <v>Teller</v>
          </cell>
          <cell r="J71">
            <v>41428</v>
          </cell>
        </row>
        <row r="72">
          <cell r="A72" t="str">
            <v xml:space="preserve">محمود محمد سيف النصر رسلان </v>
          </cell>
          <cell r="B72">
            <v>9203978</v>
          </cell>
          <cell r="C72">
            <v>81067</v>
          </cell>
          <cell r="D72">
            <v>25798</v>
          </cell>
          <cell r="E72">
            <v>50</v>
          </cell>
          <cell r="F72">
            <v>25180</v>
          </cell>
          <cell r="G72" t="str">
            <v>المعادى</v>
          </cell>
          <cell r="H72">
            <v>3</v>
          </cell>
          <cell r="I72" t="str">
            <v>Branch manager</v>
          </cell>
          <cell r="J72">
            <v>43978</v>
          </cell>
        </row>
        <row r="73">
          <cell r="A73" t="str">
            <v>مصطفى اشرف مصطفى محمد عبدالخالق</v>
          </cell>
          <cell r="B73">
            <v>9203989</v>
          </cell>
          <cell r="C73">
            <v>81068</v>
          </cell>
          <cell r="D73">
            <v>25801</v>
          </cell>
          <cell r="E73">
            <v>50</v>
          </cell>
          <cell r="F73">
            <v>25120</v>
          </cell>
          <cell r="G73" t="str">
            <v>المهندسين</v>
          </cell>
          <cell r="H73">
            <v>3</v>
          </cell>
          <cell r="I73" t="str">
            <v>Branch manager</v>
          </cell>
          <cell r="J73">
            <v>43989</v>
          </cell>
        </row>
        <row r="74">
          <cell r="A74" t="str">
            <v>مصطفى محمد عصمت جعفر</v>
          </cell>
          <cell r="B74">
            <v>9203992</v>
          </cell>
          <cell r="C74">
            <v>81069</v>
          </cell>
          <cell r="D74">
            <v>27628</v>
          </cell>
          <cell r="E74">
            <v>45</v>
          </cell>
          <cell r="F74">
            <v>22600</v>
          </cell>
          <cell r="G74" t="str">
            <v>مرسى مطروح</v>
          </cell>
          <cell r="H74">
            <v>4</v>
          </cell>
          <cell r="I74" t="str">
            <v>Treasury</v>
          </cell>
          <cell r="J74">
            <v>43992</v>
          </cell>
        </row>
        <row r="75">
          <cell r="A75" t="str">
            <v xml:space="preserve">معاذ احمد عبدالشافى السيد </v>
          </cell>
          <cell r="B75">
            <v>9203995</v>
          </cell>
          <cell r="C75">
            <v>81070</v>
          </cell>
          <cell r="D75">
            <v>28360</v>
          </cell>
          <cell r="E75">
            <v>43</v>
          </cell>
          <cell r="F75">
            <v>21580</v>
          </cell>
          <cell r="G75" t="str">
            <v>بورسعيد</v>
          </cell>
          <cell r="H75">
            <v>5</v>
          </cell>
          <cell r="I75" t="str">
            <v>Teller</v>
          </cell>
          <cell r="J75">
            <v>43995</v>
          </cell>
        </row>
        <row r="76">
          <cell r="A76" t="str">
            <v>معاوية هاني زكريا عبد المنعم</v>
          </cell>
          <cell r="B76">
            <v>9190293</v>
          </cell>
          <cell r="C76">
            <v>81071</v>
          </cell>
          <cell r="D76">
            <v>30097</v>
          </cell>
          <cell r="E76">
            <v>38</v>
          </cell>
          <cell r="F76">
            <v>19170</v>
          </cell>
          <cell r="G76" t="str">
            <v>الادارة</v>
          </cell>
          <cell r="H76">
            <v>6</v>
          </cell>
          <cell r="I76" t="str">
            <v>Credit Services</v>
          </cell>
          <cell r="J76">
            <v>40293</v>
          </cell>
        </row>
        <row r="77">
          <cell r="A77" t="str">
            <v>منة الله سيد يسن محمدعلي</v>
          </cell>
          <cell r="B77">
            <v>9190763</v>
          </cell>
          <cell r="C77">
            <v>81072</v>
          </cell>
          <cell r="D77">
            <v>30254</v>
          </cell>
          <cell r="E77">
            <v>38</v>
          </cell>
          <cell r="F77">
            <v>19510</v>
          </cell>
          <cell r="G77" t="str">
            <v>الوادى الجديد</v>
          </cell>
          <cell r="H77">
            <v>7</v>
          </cell>
          <cell r="I77" t="str">
            <v>Teller</v>
          </cell>
          <cell r="J77">
            <v>40763</v>
          </cell>
        </row>
        <row r="78">
          <cell r="A78" t="str">
            <v>ميار عاطف مصيلحي العزب الرفاعي</v>
          </cell>
          <cell r="B78">
            <v>9204000</v>
          </cell>
          <cell r="C78">
            <v>81073</v>
          </cell>
          <cell r="D78">
            <v>29823</v>
          </cell>
          <cell r="E78">
            <v>39</v>
          </cell>
          <cell r="F78">
            <v>19540</v>
          </cell>
          <cell r="G78" t="str">
            <v>بنى سويف</v>
          </cell>
          <cell r="H78">
            <v>6</v>
          </cell>
          <cell r="I78" t="str">
            <v>Teller</v>
          </cell>
          <cell r="J78">
            <v>44000</v>
          </cell>
        </row>
        <row r="79">
          <cell r="A79" t="str">
            <v>ميار عبدالباسط محمود محمد</v>
          </cell>
          <cell r="B79">
            <v>9191444</v>
          </cell>
          <cell r="C79">
            <v>81074</v>
          </cell>
          <cell r="D79">
            <v>30481</v>
          </cell>
          <cell r="E79">
            <v>37</v>
          </cell>
          <cell r="F79">
            <v>18860</v>
          </cell>
          <cell r="G79" t="str">
            <v>الاقصر</v>
          </cell>
          <cell r="H79">
            <v>7</v>
          </cell>
          <cell r="I79" t="str">
            <v>Teller</v>
          </cell>
          <cell r="J79">
            <v>41444</v>
          </cell>
        </row>
        <row r="80">
          <cell r="A80" t="str">
            <v>هايدى هشام عبدالعال عارف</v>
          </cell>
          <cell r="B80">
            <v>9204007</v>
          </cell>
          <cell r="C80">
            <v>81075</v>
          </cell>
          <cell r="D80">
            <v>32747</v>
          </cell>
          <cell r="E80">
            <v>31</v>
          </cell>
          <cell r="F80">
            <v>15500</v>
          </cell>
          <cell r="G80" t="str">
            <v>سوهاج</v>
          </cell>
          <cell r="H80">
            <v>8</v>
          </cell>
          <cell r="I80" t="str">
            <v>CS</v>
          </cell>
          <cell r="J80">
            <v>44007</v>
          </cell>
        </row>
        <row r="81">
          <cell r="A81" t="str">
            <v>هشام صبرى حسنين محمد صالح</v>
          </cell>
          <cell r="B81">
            <v>9190370</v>
          </cell>
          <cell r="C81">
            <v>81076</v>
          </cell>
          <cell r="D81">
            <v>30123</v>
          </cell>
          <cell r="E81">
            <v>38</v>
          </cell>
          <cell r="F81">
            <v>19220</v>
          </cell>
          <cell r="G81" t="str">
            <v>بنى عبيد</v>
          </cell>
          <cell r="H81">
            <v>6</v>
          </cell>
          <cell r="I81" t="str">
            <v>Teller</v>
          </cell>
          <cell r="J81">
            <v>40370</v>
          </cell>
        </row>
        <row r="82">
          <cell r="A82" t="str">
            <v>ياسر صلاح محمد عز الدين</v>
          </cell>
          <cell r="B82">
            <v>9190320</v>
          </cell>
          <cell r="C82">
            <v>81077</v>
          </cell>
          <cell r="D82">
            <v>30106</v>
          </cell>
          <cell r="E82">
            <v>38</v>
          </cell>
          <cell r="F82">
            <v>19560</v>
          </cell>
          <cell r="G82" t="str">
            <v>قنا</v>
          </cell>
          <cell r="H82">
            <v>6</v>
          </cell>
          <cell r="I82" t="str">
            <v>Teller</v>
          </cell>
          <cell r="J82">
            <v>40320</v>
          </cell>
        </row>
        <row r="83">
          <cell r="A83" t="str">
            <v>ياسمين عمرو فوزى محمود متولي</v>
          </cell>
          <cell r="B83">
            <v>9191009</v>
          </cell>
          <cell r="C83">
            <v>81078</v>
          </cell>
          <cell r="D83">
            <v>30336</v>
          </cell>
          <cell r="E83">
            <v>38</v>
          </cell>
          <cell r="F83">
            <v>18990</v>
          </cell>
          <cell r="G83" t="str">
            <v>المنوفية</v>
          </cell>
          <cell r="H83">
            <v>7</v>
          </cell>
          <cell r="I83" t="str">
            <v>Teller</v>
          </cell>
          <cell r="J83">
            <v>41009</v>
          </cell>
        </row>
        <row r="84">
          <cell r="A84" t="str">
            <v>يوسف احمد عبده محمد عبدالمقصود</v>
          </cell>
          <cell r="B84">
            <v>9204014</v>
          </cell>
          <cell r="C84">
            <v>81079</v>
          </cell>
          <cell r="D84">
            <v>33115</v>
          </cell>
          <cell r="E84">
            <v>30</v>
          </cell>
          <cell r="F84">
            <v>15610</v>
          </cell>
          <cell r="G84" t="str">
            <v>البحيرة</v>
          </cell>
          <cell r="H84">
            <v>8</v>
          </cell>
          <cell r="I84" t="str">
            <v>CS</v>
          </cell>
          <cell r="J84">
            <v>44014</v>
          </cell>
        </row>
        <row r="85">
          <cell r="A85" t="str">
            <v>يوسف محمد عبد الوهاب السيد</v>
          </cell>
          <cell r="B85">
            <v>9190754</v>
          </cell>
          <cell r="C85">
            <v>81080</v>
          </cell>
          <cell r="D85">
            <v>30251</v>
          </cell>
          <cell r="E85">
            <v>38</v>
          </cell>
          <cell r="F85">
            <v>19000</v>
          </cell>
          <cell r="G85" t="str">
            <v>الغربية</v>
          </cell>
          <cell r="H85">
            <v>7</v>
          </cell>
          <cell r="I85" t="str">
            <v>Teller</v>
          </cell>
          <cell r="J85">
            <v>40754</v>
          </cell>
        </row>
        <row r="86">
          <cell r="A86" t="str">
            <v>يوسف ياسر محمد احمد بيومي</v>
          </cell>
          <cell r="B86">
            <v>9190673</v>
          </cell>
          <cell r="C86">
            <v>81081</v>
          </cell>
          <cell r="D86">
            <v>30224</v>
          </cell>
          <cell r="E86">
            <v>38</v>
          </cell>
          <cell r="F86">
            <v>19560</v>
          </cell>
          <cell r="G86" t="str">
            <v>طنطا</v>
          </cell>
          <cell r="H86">
            <v>7</v>
          </cell>
          <cell r="I86" t="str">
            <v>Teller</v>
          </cell>
          <cell r="J86">
            <v>40673</v>
          </cell>
        </row>
        <row r="87">
          <cell r="A87" t="str">
            <v>ابراهيم جمعة عبدالقادر رفاعى عوض</v>
          </cell>
          <cell r="B87">
            <v>9180008</v>
          </cell>
          <cell r="C87">
            <v>172001</v>
          </cell>
          <cell r="D87">
            <v>29632</v>
          </cell>
          <cell r="E87">
            <v>40</v>
          </cell>
          <cell r="F87">
            <v>20040</v>
          </cell>
          <cell r="G87" t="str">
            <v>المنصورة</v>
          </cell>
          <cell r="H87">
            <v>6</v>
          </cell>
          <cell r="I87" t="str">
            <v>Teller</v>
          </cell>
          <cell r="J87">
            <v>40008</v>
          </cell>
        </row>
        <row r="88">
          <cell r="A88" t="str">
            <v>احمد اشرف حمدى احمد</v>
          </cell>
          <cell r="B88">
            <v>9180027</v>
          </cell>
          <cell r="C88">
            <v>172002</v>
          </cell>
          <cell r="D88">
            <v>29639</v>
          </cell>
          <cell r="E88">
            <v>40</v>
          </cell>
          <cell r="F88">
            <v>19900</v>
          </cell>
          <cell r="G88" t="str">
            <v>الادارة</v>
          </cell>
          <cell r="H88">
            <v>6</v>
          </cell>
          <cell r="I88" t="str">
            <v>Call Center</v>
          </cell>
          <cell r="J88">
            <v>40027</v>
          </cell>
        </row>
        <row r="89">
          <cell r="A89" t="str">
            <v>احمد شريف احمد المنشاوى</v>
          </cell>
          <cell r="B89">
            <v>9180086</v>
          </cell>
          <cell r="C89">
            <v>172003</v>
          </cell>
          <cell r="D89">
            <v>29661</v>
          </cell>
          <cell r="E89">
            <v>39</v>
          </cell>
          <cell r="F89">
            <v>19970</v>
          </cell>
          <cell r="G89" t="str">
            <v>الفيوم</v>
          </cell>
          <cell r="H89">
            <v>6</v>
          </cell>
          <cell r="I89" t="str">
            <v>Teller</v>
          </cell>
          <cell r="J89">
            <v>40086</v>
          </cell>
        </row>
        <row r="90">
          <cell r="A90" t="str">
            <v>احمد عادل عبدالهادي محمد</v>
          </cell>
          <cell r="B90">
            <v>9130207</v>
          </cell>
          <cell r="C90">
            <v>172004</v>
          </cell>
          <cell r="D90">
            <v>25797</v>
          </cell>
          <cell r="E90">
            <v>50</v>
          </cell>
          <cell r="F90">
            <v>25200</v>
          </cell>
          <cell r="G90" t="str">
            <v>المنصورة</v>
          </cell>
          <cell r="H90">
            <v>3</v>
          </cell>
          <cell r="I90" t="str">
            <v>Branch manager</v>
          </cell>
          <cell r="J90">
            <v>40207</v>
          </cell>
        </row>
        <row r="91">
          <cell r="A91" t="str">
            <v>احمد عطيه عبدالراضى عبدالعال</v>
          </cell>
          <cell r="B91">
            <v>9180119</v>
          </cell>
          <cell r="C91">
            <v>172005</v>
          </cell>
          <cell r="D91">
            <v>29673</v>
          </cell>
          <cell r="E91">
            <v>39</v>
          </cell>
          <cell r="F91">
            <v>20300</v>
          </cell>
          <cell r="G91" t="str">
            <v>القاهرة الجديدة</v>
          </cell>
          <cell r="H91">
            <v>6</v>
          </cell>
          <cell r="I91" t="str">
            <v>Teller</v>
          </cell>
          <cell r="J91">
            <v>40119</v>
          </cell>
        </row>
        <row r="92">
          <cell r="A92" t="str">
            <v>احمد مجدى احمد عمران</v>
          </cell>
          <cell r="B92">
            <v>9180144</v>
          </cell>
          <cell r="C92">
            <v>172006</v>
          </cell>
          <cell r="D92">
            <v>29682</v>
          </cell>
          <cell r="E92">
            <v>39</v>
          </cell>
          <cell r="F92">
            <v>20120</v>
          </cell>
          <cell r="G92" t="str">
            <v>الغردقة</v>
          </cell>
          <cell r="H92">
            <v>6</v>
          </cell>
          <cell r="I92" t="str">
            <v>Teller</v>
          </cell>
          <cell r="J92">
            <v>40144</v>
          </cell>
        </row>
        <row r="93">
          <cell r="A93" t="str">
            <v>احمد محمد محمد محمود محبوب</v>
          </cell>
          <cell r="B93">
            <v>9180172</v>
          </cell>
          <cell r="C93">
            <v>172007</v>
          </cell>
          <cell r="D93">
            <v>29693</v>
          </cell>
          <cell r="E93">
            <v>39</v>
          </cell>
          <cell r="F93">
            <v>19900</v>
          </cell>
          <cell r="G93" t="str">
            <v>السويس</v>
          </cell>
          <cell r="H93">
            <v>6</v>
          </cell>
          <cell r="I93" t="str">
            <v>Teller</v>
          </cell>
          <cell r="J93">
            <v>40172</v>
          </cell>
        </row>
        <row r="94">
          <cell r="A94" t="str">
            <v>احمد محمد محى الدين موسى</v>
          </cell>
          <cell r="B94">
            <v>9180173</v>
          </cell>
          <cell r="C94">
            <v>172008</v>
          </cell>
          <cell r="D94">
            <v>29693</v>
          </cell>
          <cell r="E94">
            <v>39</v>
          </cell>
          <cell r="F94">
            <v>19900</v>
          </cell>
          <cell r="G94" t="str">
            <v>المعادى</v>
          </cell>
          <cell r="H94">
            <v>6</v>
          </cell>
          <cell r="I94" t="str">
            <v>KYC</v>
          </cell>
          <cell r="J94">
            <v>40173</v>
          </cell>
        </row>
        <row r="95">
          <cell r="A95" t="str">
            <v>احمد مصطفى كامل سيد</v>
          </cell>
          <cell r="B95">
            <v>9180186</v>
          </cell>
          <cell r="C95">
            <v>172009</v>
          </cell>
          <cell r="D95">
            <v>26728</v>
          </cell>
          <cell r="E95">
            <v>48</v>
          </cell>
          <cell r="F95">
            <v>24190</v>
          </cell>
          <cell r="G95" t="str">
            <v>الشرقية</v>
          </cell>
          <cell r="H95">
            <v>4</v>
          </cell>
          <cell r="I95" t="str">
            <v>Treasury</v>
          </cell>
          <cell r="J95">
            <v>40186</v>
          </cell>
        </row>
        <row r="96">
          <cell r="A96" t="str">
            <v>احمد ناصر احمد عبدربه حسن</v>
          </cell>
          <cell r="B96">
            <v>9180191</v>
          </cell>
          <cell r="C96">
            <v>172010</v>
          </cell>
          <cell r="D96">
            <v>26730</v>
          </cell>
          <cell r="E96">
            <v>47</v>
          </cell>
          <cell r="F96">
            <v>24150</v>
          </cell>
          <cell r="G96" t="str">
            <v>الفيوم</v>
          </cell>
          <cell r="H96">
            <v>4</v>
          </cell>
          <cell r="I96" t="str">
            <v>Branch manager</v>
          </cell>
          <cell r="J96">
            <v>40191</v>
          </cell>
        </row>
        <row r="97">
          <cell r="A97" t="str">
            <v>احمد هشام عيد المرسي عيد</v>
          </cell>
          <cell r="B97">
            <v>9180199</v>
          </cell>
          <cell r="C97">
            <v>172011</v>
          </cell>
          <cell r="D97">
            <v>26733</v>
          </cell>
          <cell r="E97">
            <v>47</v>
          </cell>
          <cell r="F97">
            <v>24090</v>
          </cell>
          <cell r="G97" t="str">
            <v>القاهرة الجديدة</v>
          </cell>
          <cell r="H97">
            <v>4</v>
          </cell>
          <cell r="I97" t="str">
            <v>Treasury</v>
          </cell>
          <cell r="J97">
            <v>40199</v>
          </cell>
        </row>
        <row r="98">
          <cell r="A98" t="str">
            <v>احمد وليد فتحى عبدالسميع</v>
          </cell>
          <cell r="B98">
            <v>9180205</v>
          </cell>
          <cell r="C98">
            <v>172012</v>
          </cell>
          <cell r="D98">
            <v>26735</v>
          </cell>
          <cell r="E98">
            <v>47</v>
          </cell>
          <cell r="F98">
            <v>24050</v>
          </cell>
          <cell r="G98" t="str">
            <v>الغردقة</v>
          </cell>
          <cell r="H98">
            <v>4</v>
          </cell>
          <cell r="I98" t="str">
            <v>Teller</v>
          </cell>
          <cell r="J98">
            <v>40205</v>
          </cell>
        </row>
        <row r="99">
          <cell r="A99" t="str">
            <v>اريج رافت زاهر عبدالرحمن</v>
          </cell>
          <cell r="B99">
            <v>9180217</v>
          </cell>
          <cell r="C99">
            <v>172013</v>
          </cell>
          <cell r="D99">
            <v>32086</v>
          </cell>
          <cell r="E99">
            <v>33</v>
          </cell>
          <cell r="F99">
            <v>16890</v>
          </cell>
          <cell r="G99" t="str">
            <v>الجيزة</v>
          </cell>
          <cell r="H99">
            <v>8</v>
          </cell>
          <cell r="I99" t="str">
            <v>CS</v>
          </cell>
          <cell r="J99">
            <v>40217</v>
          </cell>
        </row>
        <row r="100">
          <cell r="A100" t="str">
            <v>اسلام احمد محمد محمود</v>
          </cell>
          <cell r="B100">
            <v>9180242</v>
          </cell>
          <cell r="C100">
            <v>172014</v>
          </cell>
          <cell r="D100">
            <v>32096</v>
          </cell>
          <cell r="E100">
            <v>33</v>
          </cell>
          <cell r="F100">
            <v>16690</v>
          </cell>
          <cell r="G100" t="str">
            <v>المنيل</v>
          </cell>
          <cell r="H100">
            <v>8</v>
          </cell>
          <cell r="I100" t="str">
            <v>CS</v>
          </cell>
          <cell r="J100">
            <v>40242</v>
          </cell>
        </row>
        <row r="101">
          <cell r="A101" t="str">
            <v>اسماء سيد سعد عباس ابراهيم</v>
          </cell>
          <cell r="B101">
            <v>9180271</v>
          </cell>
          <cell r="C101">
            <v>172015</v>
          </cell>
          <cell r="D101">
            <v>32108</v>
          </cell>
          <cell r="E101">
            <v>33</v>
          </cell>
          <cell r="F101">
            <v>16450</v>
          </cell>
          <cell r="G101" t="str">
            <v>اكتوبر</v>
          </cell>
          <cell r="H101">
            <v>8</v>
          </cell>
          <cell r="I101" t="str">
            <v>CS</v>
          </cell>
          <cell r="J101">
            <v>40271</v>
          </cell>
        </row>
        <row r="102">
          <cell r="A102" t="str">
            <v>اندرو تاوضروس حنا خليل</v>
          </cell>
          <cell r="B102">
            <v>9180323</v>
          </cell>
          <cell r="C102">
            <v>172016</v>
          </cell>
          <cell r="D102">
            <v>32129</v>
          </cell>
          <cell r="E102">
            <v>33</v>
          </cell>
          <cell r="F102">
            <v>16580</v>
          </cell>
          <cell r="G102" t="str">
            <v>شبرا</v>
          </cell>
          <cell r="H102">
            <v>8</v>
          </cell>
          <cell r="I102" t="str">
            <v>CS</v>
          </cell>
          <cell r="J102">
            <v>40323</v>
          </cell>
        </row>
        <row r="103">
          <cell r="A103" t="str">
            <v>ايمان عثمان فتحى عثمان</v>
          </cell>
          <cell r="B103">
            <v>9180340</v>
          </cell>
          <cell r="C103">
            <v>172017</v>
          </cell>
          <cell r="D103">
            <v>32136</v>
          </cell>
          <cell r="E103">
            <v>33</v>
          </cell>
          <cell r="F103">
            <v>16440</v>
          </cell>
          <cell r="G103" t="str">
            <v>فيصل</v>
          </cell>
          <cell r="H103">
            <v>8</v>
          </cell>
          <cell r="I103" t="str">
            <v>CS</v>
          </cell>
          <cell r="J103">
            <v>40340</v>
          </cell>
        </row>
        <row r="104">
          <cell r="A104" t="str">
            <v>ايه سمير احمد سيد ابو هديمه</v>
          </cell>
          <cell r="B104">
            <v>9180351</v>
          </cell>
          <cell r="C104">
            <v>172018</v>
          </cell>
          <cell r="D104">
            <v>27041</v>
          </cell>
          <cell r="E104">
            <v>47</v>
          </cell>
          <cell r="F104">
            <v>16930</v>
          </cell>
          <cell r="G104" t="str">
            <v>الادارة</v>
          </cell>
          <cell r="H104">
            <v>2</v>
          </cell>
          <cell r="I104" t="str">
            <v>Call Center</v>
          </cell>
          <cell r="J104">
            <v>40351</v>
          </cell>
        </row>
        <row r="105">
          <cell r="A105" t="str">
            <v>ايه عادل حسن درويش حسن</v>
          </cell>
          <cell r="B105">
            <v>9180354</v>
          </cell>
          <cell r="C105">
            <v>172019</v>
          </cell>
          <cell r="D105">
            <v>24349</v>
          </cell>
          <cell r="E105">
            <v>54</v>
          </cell>
          <cell r="F105">
            <v>27610</v>
          </cell>
          <cell r="G105" t="str">
            <v>السويس</v>
          </cell>
          <cell r="H105">
            <v>3</v>
          </cell>
          <cell r="I105" t="str">
            <v>Treasury</v>
          </cell>
          <cell r="J105">
            <v>40354</v>
          </cell>
        </row>
        <row r="106">
          <cell r="A106" t="str">
            <v>بسنت محمد على محمد</v>
          </cell>
          <cell r="B106">
            <v>9180382</v>
          </cell>
          <cell r="C106">
            <v>172020</v>
          </cell>
          <cell r="D106">
            <v>24358</v>
          </cell>
          <cell r="E106">
            <v>54</v>
          </cell>
          <cell r="F106">
            <v>27430</v>
          </cell>
          <cell r="G106" t="str">
            <v>المعادى</v>
          </cell>
          <cell r="H106">
            <v>3</v>
          </cell>
          <cell r="I106" t="str">
            <v>Treasury</v>
          </cell>
          <cell r="J106">
            <v>40382</v>
          </cell>
        </row>
        <row r="107">
          <cell r="A107" t="str">
            <v>بلال الحسينى احمد عبدالفتاح</v>
          </cell>
          <cell r="B107">
            <v>9180383</v>
          </cell>
          <cell r="C107">
            <v>172021</v>
          </cell>
          <cell r="D107">
            <v>24358</v>
          </cell>
          <cell r="E107">
            <v>54</v>
          </cell>
          <cell r="F107">
            <v>27430</v>
          </cell>
          <cell r="G107" t="str">
            <v>القاهرة الجديدة</v>
          </cell>
          <cell r="H107">
            <v>3</v>
          </cell>
          <cell r="I107" t="str">
            <v>Branch manager</v>
          </cell>
          <cell r="J107">
            <v>40383</v>
          </cell>
        </row>
        <row r="108">
          <cell r="A108" t="str">
            <v>بهاء الدين محمد السيد محمد البدرى</v>
          </cell>
          <cell r="B108">
            <v>9180390</v>
          </cell>
          <cell r="C108">
            <v>172022</v>
          </cell>
          <cell r="D108">
            <v>24360</v>
          </cell>
          <cell r="E108">
            <v>54</v>
          </cell>
          <cell r="F108">
            <v>27390</v>
          </cell>
          <cell r="G108" t="str">
            <v>الجيزة</v>
          </cell>
          <cell r="H108">
            <v>3</v>
          </cell>
          <cell r="I108" t="str">
            <v>Branch manager</v>
          </cell>
          <cell r="J108">
            <v>40390</v>
          </cell>
        </row>
        <row r="109">
          <cell r="A109" t="str">
            <v>حسام علاء رمضان كامل</v>
          </cell>
          <cell r="B109">
            <v>9180450</v>
          </cell>
          <cell r="C109">
            <v>172023</v>
          </cell>
          <cell r="D109">
            <v>24378</v>
          </cell>
          <cell r="E109">
            <v>54</v>
          </cell>
          <cell r="F109">
            <v>27600</v>
          </cell>
          <cell r="G109" t="str">
            <v>المنيل</v>
          </cell>
          <cell r="H109">
            <v>3</v>
          </cell>
          <cell r="I109" t="str">
            <v>Branch manager</v>
          </cell>
          <cell r="J109">
            <v>40450</v>
          </cell>
        </row>
        <row r="110">
          <cell r="A110" t="str">
            <v>حسن محمد ابراهيم عبدالسلام</v>
          </cell>
          <cell r="B110">
            <v>9180460</v>
          </cell>
          <cell r="C110">
            <v>172024</v>
          </cell>
          <cell r="D110">
            <v>24381</v>
          </cell>
          <cell r="E110">
            <v>54</v>
          </cell>
          <cell r="F110">
            <v>27520</v>
          </cell>
          <cell r="G110" t="str">
            <v>اكتوبر</v>
          </cell>
          <cell r="H110">
            <v>3</v>
          </cell>
          <cell r="I110" t="str">
            <v>Branch manager</v>
          </cell>
          <cell r="J110">
            <v>40460</v>
          </cell>
        </row>
        <row r="111">
          <cell r="A111" t="str">
            <v>خالد على عبدالوهاب احمد</v>
          </cell>
          <cell r="B111">
            <v>9180501</v>
          </cell>
          <cell r="C111">
            <v>172025</v>
          </cell>
          <cell r="D111">
            <v>24394</v>
          </cell>
          <cell r="E111">
            <v>54</v>
          </cell>
          <cell r="F111">
            <v>27260</v>
          </cell>
          <cell r="G111" t="str">
            <v>الغردقة</v>
          </cell>
          <cell r="H111">
            <v>3</v>
          </cell>
          <cell r="I111" t="str">
            <v>Treasury</v>
          </cell>
          <cell r="J111">
            <v>40501</v>
          </cell>
        </row>
        <row r="112">
          <cell r="A112" t="str">
            <v>دافيد رافت بشرى ملك</v>
          </cell>
          <cell r="B112">
            <v>9180518</v>
          </cell>
          <cell r="C112">
            <v>172026</v>
          </cell>
          <cell r="D112">
            <v>24399</v>
          </cell>
          <cell r="E112">
            <v>54</v>
          </cell>
          <cell r="F112">
            <v>27160</v>
          </cell>
          <cell r="G112" t="str">
            <v>شبرا</v>
          </cell>
          <cell r="H112">
            <v>3</v>
          </cell>
          <cell r="I112" t="str">
            <v>Branch manager</v>
          </cell>
          <cell r="J112">
            <v>40518</v>
          </cell>
        </row>
        <row r="113">
          <cell r="A113" t="str">
            <v>دينا علاء احمد على موسى</v>
          </cell>
          <cell r="B113">
            <v>9180534</v>
          </cell>
          <cell r="C113">
            <v>172027</v>
          </cell>
          <cell r="D113">
            <v>24404</v>
          </cell>
          <cell r="E113">
            <v>54</v>
          </cell>
          <cell r="F113">
            <v>27060</v>
          </cell>
          <cell r="G113" t="str">
            <v>فيصل</v>
          </cell>
          <cell r="H113">
            <v>3</v>
          </cell>
          <cell r="I113" t="str">
            <v>Branch manager</v>
          </cell>
          <cell r="J113">
            <v>40534</v>
          </cell>
        </row>
        <row r="114">
          <cell r="A114" t="str">
            <v>سعد الدين محمد محمد احمد بدر</v>
          </cell>
          <cell r="B114">
            <v>9180609</v>
          </cell>
          <cell r="C114">
            <v>172028</v>
          </cell>
          <cell r="D114">
            <v>22391</v>
          </cell>
          <cell r="E114">
            <v>59</v>
          </cell>
          <cell r="F114">
            <v>29840</v>
          </cell>
          <cell r="G114" t="str">
            <v>الادارة</v>
          </cell>
          <cell r="H114">
            <v>2</v>
          </cell>
          <cell r="I114" t="str">
            <v>KYC</v>
          </cell>
          <cell r="J114">
            <v>40609</v>
          </cell>
        </row>
        <row r="115">
          <cell r="A115" t="str">
            <v>سيف الدين السعيد محمود احمد عامر</v>
          </cell>
          <cell r="B115">
            <v>9180645</v>
          </cell>
          <cell r="C115">
            <v>172029</v>
          </cell>
          <cell r="D115">
            <v>22401</v>
          </cell>
          <cell r="E115">
            <v>59</v>
          </cell>
          <cell r="F115">
            <v>30210</v>
          </cell>
          <cell r="G115" t="str">
            <v>الادارة</v>
          </cell>
          <cell r="H115">
            <v>2</v>
          </cell>
          <cell r="I115" t="str">
            <v>CS</v>
          </cell>
          <cell r="J115">
            <v>40645</v>
          </cell>
        </row>
        <row r="116">
          <cell r="A116" t="str">
            <v>شذا محمد عبدالرحمن البابلى</v>
          </cell>
          <cell r="B116">
            <v>9161007</v>
          </cell>
          <cell r="C116">
            <v>172030</v>
          </cell>
          <cell r="D116">
            <v>30503</v>
          </cell>
          <cell r="E116">
            <v>37</v>
          </cell>
          <cell r="F116">
            <v>18970</v>
          </cell>
          <cell r="G116" t="str">
            <v>القاهرة</v>
          </cell>
          <cell r="H116">
            <v>7</v>
          </cell>
          <cell r="I116" t="str">
            <v>CS</v>
          </cell>
          <cell r="J116">
            <v>41007</v>
          </cell>
        </row>
        <row r="117">
          <cell r="A117" t="str">
            <v>ضى علاء حسن محمد</v>
          </cell>
          <cell r="B117">
            <v>9180685</v>
          </cell>
          <cell r="C117">
            <v>172031</v>
          </cell>
          <cell r="D117">
            <v>22412</v>
          </cell>
          <cell r="E117">
            <v>59</v>
          </cell>
          <cell r="F117">
            <v>29970</v>
          </cell>
          <cell r="G117" t="str">
            <v>الادارة</v>
          </cell>
          <cell r="H117">
            <v>2</v>
          </cell>
          <cell r="I117" t="str">
            <v>SMEs</v>
          </cell>
          <cell r="J117">
            <v>40685</v>
          </cell>
        </row>
        <row r="118">
          <cell r="A118" t="str">
            <v>طارق سامى محمود سعد</v>
          </cell>
          <cell r="B118">
            <v>9180688</v>
          </cell>
          <cell r="C118">
            <v>172032</v>
          </cell>
          <cell r="D118">
            <v>22413</v>
          </cell>
          <cell r="E118">
            <v>59</v>
          </cell>
          <cell r="F118">
            <v>29950</v>
          </cell>
          <cell r="G118" t="str">
            <v>الادارة</v>
          </cell>
          <cell r="H118">
            <v>2</v>
          </cell>
          <cell r="I118" t="str">
            <v>Credit</v>
          </cell>
          <cell r="J118">
            <v>40688</v>
          </cell>
        </row>
        <row r="119">
          <cell r="A119" t="str">
            <v>عادل محمد عبدالحميد رزق</v>
          </cell>
          <cell r="B119">
            <v>9180699</v>
          </cell>
          <cell r="C119">
            <v>172033</v>
          </cell>
          <cell r="D119">
            <v>22416</v>
          </cell>
          <cell r="E119">
            <v>59</v>
          </cell>
          <cell r="F119">
            <v>29890</v>
          </cell>
          <cell r="G119" t="str">
            <v>الادارة</v>
          </cell>
          <cell r="H119">
            <v>2</v>
          </cell>
          <cell r="I119" t="str">
            <v>Credit Services</v>
          </cell>
          <cell r="J119">
            <v>40699</v>
          </cell>
        </row>
        <row r="120">
          <cell r="A120" t="str">
            <v>روبرتو ادم</v>
          </cell>
          <cell r="B120">
            <v>9180713</v>
          </cell>
          <cell r="C120">
            <v>172034</v>
          </cell>
          <cell r="D120">
            <v>22420</v>
          </cell>
          <cell r="E120">
            <v>59</v>
          </cell>
          <cell r="F120">
            <v>29810</v>
          </cell>
          <cell r="G120" t="str">
            <v>الادارة</v>
          </cell>
          <cell r="H120">
            <v>1</v>
          </cell>
          <cell r="I120" t="str">
            <v>CEO</v>
          </cell>
          <cell r="J120">
            <v>40713</v>
          </cell>
        </row>
        <row r="121">
          <cell r="A121" t="str">
            <v>عبدالرحمن احمد فضل متولى</v>
          </cell>
          <cell r="B121">
            <v>9180717</v>
          </cell>
          <cell r="C121">
            <v>172035</v>
          </cell>
          <cell r="D121">
            <v>32286</v>
          </cell>
          <cell r="E121">
            <v>32</v>
          </cell>
          <cell r="F121">
            <v>16230</v>
          </cell>
          <cell r="G121" t="str">
            <v>الاسكندرية</v>
          </cell>
          <cell r="H121">
            <v>8</v>
          </cell>
          <cell r="I121" t="str">
            <v>CS</v>
          </cell>
          <cell r="J121">
            <v>40717</v>
          </cell>
        </row>
        <row r="122">
          <cell r="A122" t="str">
            <v>عبدالرحمن احمد محمد فريد حسن عبدالرحمن</v>
          </cell>
          <cell r="B122">
            <v>9180718</v>
          </cell>
          <cell r="C122">
            <v>172036</v>
          </cell>
          <cell r="D122">
            <v>32287</v>
          </cell>
          <cell r="E122">
            <v>32</v>
          </cell>
          <cell r="F122">
            <v>16210</v>
          </cell>
          <cell r="G122" t="str">
            <v>اسوان</v>
          </cell>
          <cell r="H122">
            <v>8</v>
          </cell>
          <cell r="I122" t="str">
            <v>CS</v>
          </cell>
          <cell r="J122">
            <v>40718</v>
          </cell>
        </row>
        <row r="123">
          <cell r="A123" t="str">
            <v>عبدالرحمن طارق عبده عبدالله</v>
          </cell>
          <cell r="B123">
            <v>9180748</v>
          </cell>
          <cell r="C123">
            <v>172037</v>
          </cell>
          <cell r="D123">
            <v>32299</v>
          </cell>
          <cell r="E123">
            <v>32</v>
          </cell>
          <cell r="F123">
            <v>16540</v>
          </cell>
          <cell r="G123" t="str">
            <v>شرم الشيخ</v>
          </cell>
          <cell r="H123">
            <v>8</v>
          </cell>
          <cell r="I123" t="str">
            <v>CS</v>
          </cell>
          <cell r="J123">
            <v>40748</v>
          </cell>
        </row>
        <row r="124">
          <cell r="A124" t="str">
            <v>عبدالله احمد حمدان احمد</v>
          </cell>
          <cell r="B124">
            <v>9180804</v>
          </cell>
          <cell r="C124">
            <v>172038</v>
          </cell>
          <cell r="D124">
            <v>32321</v>
          </cell>
          <cell r="E124">
            <v>32</v>
          </cell>
          <cell r="F124">
            <v>16100</v>
          </cell>
          <cell r="G124" t="str">
            <v>الدقهلية</v>
          </cell>
          <cell r="H124">
            <v>8</v>
          </cell>
          <cell r="I124" t="str">
            <v>Cs</v>
          </cell>
          <cell r="J124">
            <v>40804</v>
          </cell>
        </row>
        <row r="125">
          <cell r="A125" t="str">
            <v>عبدالله حسين حسنين عبدالحميد</v>
          </cell>
          <cell r="B125">
            <v>9180812</v>
          </cell>
          <cell r="C125">
            <v>172039</v>
          </cell>
          <cell r="D125">
            <v>32324</v>
          </cell>
          <cell r="E125">
            <v>32</v>
          </cell>
          <cell r="F125">
            <v>16610</v>
          </cell>
          <cell r="G125" t="str">
            <v>مرسى مطروح</v>
          </cell>
          <cell r="H125">
            <v>8</v>
          </cell>
          <cell r="I125" t="str">
            <v>CS</v>
          </cell>
          <cell r="J125">
            <v>40812</v>
          </cell>
        </row>
        <row r="126">
          <cell r="A126" t="str">
            <v>عبدالله زاهر شحاده ابو سيدو</v>
          </cell>
          <cell r="B126">
            <v>9180816</v>
          </cell>
          <cell r="C126">
            <v>172040</v>
          </cell>
          <cell r="D126">
            <v>32326</v>
          </cell>
          <cell r="E126">
            <v>32</v>
          </cell>
          <cell r="F126">
            <v>16550</v>
          </cell>
          <cell r="G126" t="str">
            <v>بورسعيد</v>
          </cell>
          <cell r="H126">
            <v>8</v>
          </cell>
          <cell r="I126" t="str">
            <v>CS</v>
          </cell>
          <cell r="J126">
            <v>40816</v>
          </cell>
        </row>
        <row r="127">
          <cell r="A127" t="str">
            <v>عبدالله محمود محمد عبدالعزيز</v>
          </cell>
          <cell r="B127">
            <v>9180830</v>
          </cell>
          <cell r="C127">
            <v>172041</v>
          </cell>
          <cell r="D127">
            <v>32332</v>
          </cell>
          <cell r="E127">
            <v>32</v>
          </cell>
          <cell r="F127">
            <v>16430</v>
          </cell>
          <cell r="G127" t="str">
            <v>الاسماعيلية</v>
          </cell>
          <cell r="H127">
            <v>8</v>
          </cell>
          <cell r="I127" t="str">
            <v>CS</v>
          </cell>
          <cell r="J127">
            <v>40830</v>
          </cell>
        </row>
        <row r="128">
          <cell r="A128" t="str">
            <v>على عادل اسماعيل السيد علي</v>
          </cell>
          <cell r="B128">
            <v>9180899</v>
          </cell>
          <cell r="C128">
            <v>172042</v>
          </cell>
          <cell r="D128">
            <v>32359</v>
          </cell>
          <cell r="E128">
            <v>32</v>
          </cell>
          <cell r="F128">
            <v>16460</v>
          </cell>
          <cell r="G128" t="str">
            <v>الوادى الجديد</v>
          </cell>
          <cell r="H128">
            <v>8</v>
          </cell>
          <cell r="I128" t="str">
            <v>CS</v>
          </cell>
          <cell r="J128">
            <v>40899</v>
          </cell>
        </row>
        <row r="129">
          <cell r="A129" t="str">
            <v>على عبدالحليم على ابوزيد</v>
          </cell>
          <cell r="B129">
            <v>9180900</v>
          </cell>
          <cell r="C129">
            <v>172043</v>
          </cell>
          <cell r="D129">
            <v>32360</v>
          </cell>
          <cell r="E129">
            <v>32</v>
          </cell>
          <cell r="F129">
            <v>16440</v>
          </cell>
          <cell r="G129" t="str">
            <v>بنى سويف</v>
          </cell>
          <cell r="H129">
            <v>8</v>
          </cell>
          <cell r="I129" t="str">
            <v>CS</v>
          </cell>
          <cell r="J129">
            <v>40900</v>
          </cell>
        </row>
        <row r="130">
          <cell r="A130" t="str">
            <v>عمر ابراهيم السيد ابراهيم محمد سلامه</v>
          </cell>
          <cell r="B130">
            <v>9180919</v>
          </cell>
          <cell r="C130">
            <v>172044</v>
          </cell>
          <cell r="D130">
            <v>33716</v>
          </cell>
          <cell r="E130">
            <v>28</v>
          </cell>
          <cell r="F130">
            <v>14300</v>
          </cell>
          <cell r="G130" t="str">
            <v>الاقصر</v>
          </cell>
          <cell r="H130">
            <v>8</v>
          </cell>
          <cell r="I130" t="str">
            <v>CS</v>
          </cell>
          <cell r="J130">
            <v>40919</v>
          </cell>
        </row>
        <row r="131">
          <cell r="A131" t="str">
            <v>عمر طارق محمد محمد</v>
          </cell>
          <cell r="B131">
            <v>9180941</v>
          </cell>
          <cell r="C131">
            <v>172045</v>
          </cell>
          <cell r="D131">
            <v>33725</v>
          </cell>
          <cell r="E131">
            <v>28</v>
          </cell>
          <cell r="F131">
            <v>14670</v>
          </cell>
          <cell r="G131" t="str">
            <v>سوهاج</v>
          </cell>
          <cell r="H131">
            <v>8</v>
          </cell>
          <cell r="I131" t="str">
            <v>CS</v>
          </cell>
          <cell r="J131">
            <v>40941</v>
          </cell>
        </row>
        <row r="132">
          <cell r="A132" t="str">
            <v>عمر عبدالفتاح حماد صالح</v>
          </cell>
          <cell r="B132">
            <v>9180944</v>
          </cell>
          <cell r="C132">
            <v>172046</v>
          </cell>
          <cell r="D132">
            <v>33726</v>
          </cell>
          <cell r="E132">
            <v>28</v>
          </cell>
          <cell r="F132">
            <v>14650</v>
          </cell>
          <cell r="G132" t="str">
            <v>بنى عبيد</v>
          </cell>
          <cell r="H132">
            <v>8</v>
          </cell>
          <cell r="I132" t="str">
            <v>CS</v>
          </cell>
          <cell r="J132">
            <v>40944</v>
          </cell>
        </row>
        <row r="133">
          <cell r="A133" t="str">
            <v>عمر مصطفى محمود حافظ</v>
          </cell>
          <cell r="B133">
            <v>9180973</v>
          </cell>
          <cell r="C133">
            <v>172047</v>
          </cell>
          <cell r="D133">
            <v>33738</v>
          </cell>
          <cell r="E133">
            <v>28</v>
          </cell>
          <cell r="F133">
            <v>14410</v>
          </cell>
          <cell r="G133" t="str">
            <v>قنا</v>
          </cell>
          <cell r="H133">
            <v>8</v>
          </cell>
          <cell r="I133" t="str">
            <v>CS</v>
          </cell>
          <cell r="J133">
            <v>40973</v>
          </cell>
        </row>
        <row r="134">
          <cell r="A134" t="str">
            <v>فرانسوا ادهم وليم فهمى</v>
          </cell>
          <cell r="B134">
            <v>9181020</v>
          </cell>
          <cell r="C134">
            <v>172048</v>
          </cell>
          <cell r="D134">
            <v>33758</v>
          </cell>
          <cell r="E134">
            <v>28</v>
          </cell>
          <cell r="F134">
            <v>14580</v>
          </cell>
          <cell r="G134" t="str">
            <v>المنوفية</v>
          </cell>
          <cell r="H134">
            <v>8</v>
          </cell>
          <cell r="I134" t="str">
            <v>CS</v>
          </cell>
          <cell r="J134">
            <v>41020</v>
          </cell>
        </row>
        <row r="135">
          <cell r="A135" t="str">
            <v xml:space="preserve">كريم محمد محمد عليوة </v>
          </cell>
          <cell r="B135">
            <v>9170381</v>
          </cell>
          <cell r="C135">
            <v>172049</v>
          </cell>
          <cell r="D135">
            <v>29325</v>
          </cell>
          <cell r="E135">
            <v>40</v>
          </cell>
          <cell r="F135">
            <v>20460</v>
          </cell>
          <cell r="G135" t="str">
            <v>البحيرة</v>
          </cell>
          <cell r="H135">
            <v>6</v>
          </cell>
          <cell r="I135" t="str">
            <v>Teller</v>
          </cell>
          <cell r="J135">
            <v>40381</v>
          </cell>
        </row>
        <row r="136">
          <cell r="A136" t="str">
            <v>مارك مدحت عبده حنين</v>
          </cell>
          <cell r="B136">
            <v>9181074</v>
          </cell>
          <cell r="C136">
            <v>172050</v>
          </cell>
          <cell r="D136">
            <v>33780</v>
          </cell>
          <cell r="E136">
            <v>28</v>
          </cell>
          <cell r="F136">
            <v>14140</v>
          </cell>
          <cell r="G136" t="str">
            <v>الغربية</v>
          </cell>
          <cell r="H136">
            <v>8</v>
          </cell>
          <cell r="I136" t="str">
            <v>CS</v>
          </cell>
          <cell r="J136">
            <v>41074</v>
          </cell>
        </row>
        <row r="137">
          <cell r="A137" t="str">
            <v>محمد ابراهيم جاب الله موسى مرعيط</v>
          </cell>
          <cell r="B137">
            <v>9181093</v>
          </cell>
          <cell r="C137">
            <v>172051</v>
          </cell>
          <cell r="D137">
            <v>27031</v>
          </cell>
          <cell r="E137">
            <v>47</v>
          </cell>
          <cell r="F137">
            <v>23850</v>
          </cell>
          <cell r="G137" t="str">
            <v>القاهرة</v>
          </cell>
          <cell r="H137">
            <v>4</v>
          </cell>
          <cell r="I137" t="str">
            <v>Treasury</v>
          </cell>
          <cell r="J137">
            <v>41093</v>
          </cell>
        </row>
        <row r="138">
          <cell r="A138" t="str">
            <v>محمد ابو بكر جاد الكريم حسن كرار</v>
          </cell>
          <cell r="B138">
            <v>9181098</v>
          </cell>
          <cell r="C138">
            <v>172052</v>
          </cell>
          <cell r="D138">
            <v>27032</v>
          </cell>
          <cell r="E138">
            <v>47</v>
          </cell>
          <cell r="F138">
            <v>23830</v>
          </cell>
          <cell r="G138" t="str">
            <v>القاهرة</v>
          </cell>
          <cell r="H138">
            <v>4</v>
          </cell>
          <cell r="I138" t="str">
            <v>Teller</v>
          </cell>
          <cell r="J138">
            <v>41098</v>
          </cell>
        </row>
        <row r="139">
          <cell r="A139" t="str">
            <v>محمد احمد عبدالمنصف غانم</v>
          </cell>
          <cell r="B139">
            <v>9181110</v>
          </cell>
          <cell r="C139">
            <v>172053</v>
          </cell>
          <cell r="D139">
            <v>27036</v>
          </cell>
          <cell r="E139">
            <v>47</v>
          </cell>
          <cell r="F139">
            <v>23750</v>
          </cell>
          <cell r="G139" t="str">
            <v>القاهرة</v>
          </cell>
          <cell r="H139">
            <v>4</v>
          </cell>
          <cell r="I139" t="str">
            <v>Teller</v>
          </cell>
          <cell r="J139">
            <v>41110</v>
          </cell>
        </row>
        <row r="140">
          <cell r="A140" t="str">
            <v>محمد احمد هشام محمود محمد</v>
          </cell>
          <cell r="B140">
            <v>9181123</v>
          </cell>
          <cell r="C140">
            <v>172054</v>
          </cell>
          <cell r="D140">
            <v>27041</v>
          </cell>
          <cell r="E140">
            <v>47</v>
          </cell>
          <cell r="F140">
            <v>23650</v>
          </cell>
          <cell r="G140" t="str">
            <v>الادارة</v>
          </cell>
          <cell r="H140">
            <v>2</v>
          </cell>
          <cell r="I140" t="str">
            <v>Finance</v>
          </cell>
          <cell r="J140">
            <v>41123</v>
          </cell>
        </row>
        <row r="141">
          <cell r="A141" t="str">
            <v>محمد حسانين محمد احمد</v>
          </cell>
          <cell r="B141">
            <v>9181161</v>
          </cell>
          <cell r="C141">
            <v>172055</v>
          </cell>
          <cell r="D141">
            <v>27053</v>
          </cell>
          <cell r="E141">
            <v>47</v>
          </cell>
          <cell r="F141">
            <v>23410</v>
          </cell>
          <cell r="G141" t="str">
            <v>الادارة</v>
          </cell>
          <cell r="H141">
            <v>2</v>
          </cell>
          <cell r="I141" t="str">
            <v>HR</v>
          </cell>
          <cell r="J141">
            <v>41161</v>
          </cell>
        </row>
        <row r="142">
          <cell r="A142" t="str">
            <v>محمد سامى محمد محمود</v>
          </cell>
          <cell r="B142">
            <v>9181189</v>
          </cell>
          <cell r="C142">
            <v>172056</v>
          </cell>
          <cell r="D142">
            <v>27063</v>
          </cell>
          <cell r="E142">
            <v>47</v>
          </cell>
          <cell r="F142">
            <v>23780</v>
          </cell>
          <cell r="G142" t="str">
            <v>الجيزة</v>
          </cell>
          <cell r="H142">
            <v>4</v>
          </cell>
          <cell r="I142" t="str">
            <v>Treasury</v>
          </cell>
          <cell r="J142">
            <v>41189</v>
          </cell>
        </row>
        <row r="143">
          <cell r="A143" t="str">
            <v>محمد سيد حسين عبدالرازق</v>
          </cell>
          <cell r="B143">
            <v>9181203</v>
          </cell>
          <cell r="C143">
            <v>172057</v>
          </cell>
          <cell r="D143">
            <v>27067</v>
          </cell>
          <cell r="E143">
            <v>47</v>
          </cell>
          <cell r="F143">
            <v>23700</v>
          </cell>
          <cell r="G143" t="str">
            <v>الجيزة</v>
          </cell>
          <cell r="H143">
            <v>4</v>
          </cell>
          <cell r="I143" t="str">
            <v>Teller</v>
          </cell>
          <cell r="J143">
            <v>41203</v>
          </cell>
        </row>
        <row r="144">
          <cell r="A144" t="str">
            <v>محمد سيد شعبان السيد</v>
          </cell>
          <cell r="B144">
            <v>9181204</v>
          </cell>
          <cell r="C144">
            <v>172058</v>
          </cell>
          <cell r="D144">
            <v>27068</v>
          </cell>
          <cell r="E144">
            <v>47</v>
          </cell>
          <cell r="F144">
            <v>23680</v>
          </cell>
          <cell r="G144" t="str">
            <v>الاسكندرية</v>
          </cell>
          <cell r="H144">
            <v>4</v>
          </cell>
          <cell r="I144" t="str">
            <v>Treasury</v>
          </cell>
          <cell r="J144">
            <v>41204</v>
          </cell>
        </row>
        <row r="145">
          <cell r="A145" t="str">
            <v xml:space="preserve">محمد شريف محمد وجدى محمد زكى </v>
          </cell>
          <cell r="B145">
            <v>9160567</v>
          </cell>
          <cell r="C145">
            <v>172059</v>
          </cell>
          <cell r="D145">
            <v>30283</v>
          </cell>
          <cell r="E145">
            <v>38</v>
          </cell>
          <cell r="F145">
            <v>19500</v>
          </cell>
          <cell r="G145" t="str">
            <v>طنطا</v>
          </cell>
          <cell r="H145">
            <v>7</v>
          </cell>
          <cell r="I145" t="str">
            <v>Teller</v>
          </cell>
          <cell r="J145">
            <v>40567</v>
          </cell>
        </row>
        <row r="146">
          <cell r="A146" t="str">
            <v>محمد عادل عبدالمحسن عبدالحليم</v>
          </cell>
          <cell r="B146">
            <v>9181224</v>
          </cell>
          <cell r="C146">
            <v>172060</v>
          </cell>
          <cell r="D146">
            <v>23206</v>
          </cell>
          <cell r="E146">
            <v>57</v>
          </cell>
          <cell r="F146">
            <v>28810</v>
          </cell>
          <cell r="G146" t="str">
            <v>دمياط</v>
          </cell>
          <cell r="H146">
            <v>2</v>
          </cell>
          <cell r="I146" t="str">
            <v>Branch manager</v>
          </cell>
          <cell r="J146">
            <v>41224</v>
          </cell>
        </row>
        <row r="147">
          <cell r="A147" t="str">
            <v>محمد علاء عبدالخالق احمد عبدالخالق</v>
          </cell>
          <cell r="B147">
            <v>9181257</v>
          </cell>
          <cell r="C147">
            <v>172061</v>
          </cell>
          <cell r="D147">
            <v>23216</v>
          </cell>
          <cell r="E147">
            <v>57</v>
          </cell>
          <cell r="F147">
            <v>28610</v>
          </cell>
          <cell r="G147" t="str">
            <v>كفر الشيخ</v>
          </cell>
          <cell r="H147">
            <v>2</v>
          </cell>
          <cell r="I147" t="str">
            <v>Branch manager</v>
          </cell>
          <cell r="J147">
            <v>41257</v>
          </cell>
        </row>
        <row r="148">
          <cell r="A148" t="str">
            <v>محمود عمرو محمد رفعت محمد جودى</v>
          </cell>
          <cell r="B148">
            <v>9181351</v>
          </cell>
          <cell r="C148">
            <v>172062</v>
          </cell>
          <cell r="D148">
            <v>23243</v>
          </cell>
          <cell r="E148">
            <v>57</v>
          </cell>
          <cell r="F148">
            <v>28640</v>
          </cell>
          <cell r="G148" t="str">
            <v>الادارة</v>
          </cell>
          <cell r="H148">
            <v>2</v>
          </cell>
          <cell r="I148" t="str">
            <v>District</v>
          </cell>
          <cell r="J148">
            <v>41351</v>
          </cell>
        </row>
        <row r="149">
          <cell r="A149" t="str">
            <v>محمود عمرو نبيل احمد مصطفى</v>
          </cell>
          <cell r="B149">
            <v>9181352</v>
          </cell>
          <cell r="C149">
            <v>172063</v>
          </cell>
          <cell r="D149">
            <v>23243</v>
          </cell>
          <cell r="E149">
            <v>57</v>
          </cell>
          <cell r="F149">
            <v>28640</v>
          </cell>
          <cell r="G149" t="str">
            <v>العين السخنة</v>
          </cell>
          <cell r="H149">
            <v>3</v>
          </cell>
          <cell r="I149" t="str">
            <v>Branch manager</v>
          </cell>
          <cell r="J149">
            <v>41352</v>
          </cell>
        </row>
        <row r="150">
          <cell r="A150" t="str">
            <v>محمود مدحت يماني ابوزيد</v>
          </cell>
          <cell r="B150">
            <v>9170472</v>
          </cell>
          <cell r="C150">
            <v>172064</v>
          </cell>
          <cell r="D150">
            <v>33558</v>
          </cell>
          <cell r="E150">
            <v>29</v>
          </cell>
          <cell r="F150">
            <v>14670</v>
          </cell>
          <cell r="G150" t="str">
            <v>فايد</v>
          </cell>
          <cell r="H150">
            <v>8</v>
          </cell>
          <cell r="I150" t="str">
            <v>CS</v>
          </cell>
          <cell r="J150">
            <v>40472</v>
          </cell>
        </row>
        <row r="151">
          <cell r="A151" t="str">
            <v>منه محمود صلاح المسلمى السيد</v>
          </cell>
          <cell r="B151">
            <v>9181461</v>
          </cell>
          <cell r="C151">
            <v>172065</v>
          </cell>
          <cell r="D151">
            <v>23274</v>
          </cell>
          <cell r="E151">
            <v>57</v>
          </cell>
          <cell r="F151">
            <v>28690</v>
          </cell>
          <cell r="G151" t="str">
            <v>العلمين</v>
          </cell>
          <cell r="H151">
            <v>3</v>
          </cell>
          <cell r="I151" t="str">
            <v>Branch manager</v>
          </cell>
          <cell r="J151">
            <v>41461</v>
          </cell>
        </row>
        <row r="152">
          <cell r="A152" t="str">
            <v>ندى عبدالمعبود عبدالرازق عبدالمعبود</v>
          </cell>
          <cell r="B152">
            <v>9181513</v>
          </cell>
          <cell r="C152">
            <v>172066</v>
          </cell>
          <cell r="D152">
            <v>23289</v>
          </cell>
          <cell r="E152">
            <v>57</v>
          </cell>
          <cell r="F152">
            <v>28940</v>
          </cell>
          <cell r="G152" t="str">
            <v>الساحل الشمالى</v>
          </cell>
          <cell r="H152">
            <v>3</v>
          </cell>
          <cell r="I152" t="str">
            <v>Branch manager</v>
          </cell>
          <cell r="J152">
            <v>41513</v>
          </cell>
        </row>
        <row r="153">
          <cell r="A153" t="str">
            <v>نردين احمد شوقى عبدالمجيد سباق</v>
          </cell>
          <cell r="B153">
            <v>9181522</v>
          </cell>
          <cell r="C153">
            <v>172067</v>
          </cell>
          <cell r="D153">
            <v>23292</v>
          </cell>
          <cell r="E153">
            <v>57</v>
          </cell>
          <cell r="F153">
            <v>28880</v>
          </cell>
          <cell r="G153" t="str">
            <v>الادارة</v>
          </cell>
          <cell r="H153">
            <v>2</v>
          </cell>
          <cell r="I153" t="str">
            <v>District</v>
          </cell>
          <cell r="J153">
            <v>41522</v>
          </cell>
        </row>
        <row r="154">
          <cell r="A154" t="str">
            <v>نهال منصور عبدالبارى محمد ربيع</v>
          </cell>
          <cell r="B154">
            <v>9181525</v>
          </cell>
          <cell r="C154">
            <v>172068</v>
          </cell>
          <cell r="D154">
            <v>35445</v>
          </cell>
          <cell r="E154">
            <v>24</v>
          </cell>
          <cell r="F154">
            <v>12090</v>
          </cell>
          <cell r="G154" t="str">
            <v>المهندسين</v>
          </cell>
          <cell r="H154">
            <v>8</v>
          </cell>
          <cell r="I154" t="str">
            <v>CS</v>
          </cell>
          <cell r="J154">
            <v>41525</v>
          </cell>
        </row>
        <row r="155">
          <cell r="A155" t="str">
            <v>نيره مجدى عبدالفتاح رفاعى</v>
          </cell>
          <cell r="B155">
            <v>9181548</v>
          </cell>
          <cell r="C155">
            <v>172069</v>
          </cell>
          <cell r="D155">
            <v>33978</v>
          </cell>
          <cell r="E155">
            <v>28</v>
          </cell>
          <cell r="F155">
            <v>14210</v>
          </cell>
          <cell r="G155" t="str">
            <v>المنصورة</v>
          </cell>
          <cell r="H155">
            <v>8</v>
          </cell>
          <cell r="I155" t="str">
            <v>CS</v>
          </cell>
          <cell r="J155">
            <v>41548</v>
          </cell>
        </row>
        <row r="156">
          <cell r="A156" t="str">
            <v>هاجر اسماعيل عبدالعاطى على</v>
          </cell>
          <cell r="B156">
            <v>9181549</v>
          </cell>
          <cell r="C156">
            <v>172070</v>
          </cell>
          <cell r="D156">
            <v>32619</v>
          </cell>
          <cell r="E156">
            <v>31</v>
          </cell>
          <cell r="F156">
            <v>15820</v>
          </cell>
          <cell r="G156" t="str">
            <v>الشرقية</v>
          </cell>
          <cell r="H156">
            <v>8</v>
          </cell>
          <cell r="I156" t="str">
            <v>CS</v>
          </cell>
          <cell r="J156">
            <v>41549</v>
          </cell>
        </row>
        <row r="157">
          <cell r="A157" t="str">
            <v>يوسف محمود سيد محمد السيد</v>
          </cell>
          <cell r="B157">
            <v>9181661</v>
          </cell>
          <cell r="C157">
            <v>172071</v>
          </cell>
          <cell r="D157">
            <v>31408</v>
          </cell>
          <cell r="E157">
            <v>35</v>
          </cell>
          <cell r="F157">
            <v>17400</v>
          </cell>
          <cell r="G157" t="str">
            <v>الفيوم</v>
          </cell>
          <cell r="H157">
            <v>8</v>
          </cell>
          <cell r="I157" t="str">
            <v>CS</v>
          </cell>
          <cell r="J157">
            <v>41661</v>
          </cell>
        </row>
        <row r="158">
          <cell r="A158" t="str">
            <v>يوسف محمود عبدالمنعم سالم</v>
          </cell>
          <cell r="B158">
            <v>9181662</v>
          </cell>
          <cell r="C158">
            <v>172072</v>
          </cell>
          <cell r="D158">
            <v>34749</v>
          </cell>
          <cell r="E158">
            <v>26</v>
          </cell>
          <cell r="F158">
            <v>12960</v>
          </cell>
          <cell r="G158" t="str">
            <v>القاهرة الجديدة</v>
          </cell>
          <cell r="H158">
            <v>8</v>
          </cell>
          <cell r="I158" t="str">
            <v>CS</v>
          </cell>
          <cell r="J158">
            <v>41662</v>
          </cell>
        </row>
        <row r="159">
          <cell r="A159" t="str">
            <v>يوسف وليد حسن عبدالعظيم</v>
          </cell>
          <cell r="B159">
            <v>9181668</v>
          </cell>
          <cell r="C159">
            <v>172073</v>
          </cell>
          <cell r="D159">
            <v>34605</v>
          </cell>
          <cell r="E159">
            <v>26</v>
          </cell>
          <cell r="F159">
            <v>13600</v>
          </cell>
          <cell r="G159" t="str">
            <v>الغردقة</v>
          </cell>
          <cell r="H159">
            <v>8</v>
          </cell>
          <cell r="I159" t="str">
            <v>CS</v>
          </cell>
          <cell r="J159">
            <v>41668</v>
          </cell>
        </row>
        <row r="160">
          <cell r="A160" t="str">
            <v>احمد حمدي خليل علي</v>
          </cell>
          <cell r="B160">
            <v>9170728</v>
          </cell>
          <cell r="C160">
            <v>173001</v>
          </cell>
          <cell r="D160">
            <v>29843</v>
          </cell>
          <cell r="E160">
            <v>39</v>
          </cell>
          <cell r="F160">
            <v>19810</v>
          </cell>
          <cell r="G160" t="str">
            <v>الادارة</v>
          </cell>
          <cell r="H160">
            <v>7</v>
          </cell>
          <cell r="I160" t="str">
            <v>Call Center</v>
          </cell>
          <cell r="J160">
            <v>40728</v>
          </cell>
        </row>
        <row r="161">
          <cell r="A161" t="str">
            <v>احمد عادل عبدالحليم مصطفى</v>
          </cell>
          <cell r="B161">
            <v>9161481</v>
          </cell>
          <cell r="C161">
            <v>173002</v>
          </cell>
          <cell r="D161">
            <v>25832</v>
          </cell>
          <cell r="E161">
            <v>50</v>
          </cell>
          <cell r="F161">
            <v>25170</v>
          </cell>
          <cell r="G161" t="str">
            <v>الشرقية</v>
          </cell>
          <cell r="H161">
            <v>4</v>
          </cell>
          <cell r="I161" t="str">
            <v>Teller</v>
          </cell>
          <cell r="J161">
            <v>41481</v>
          </cell>
        </row>
        <row r="162">
          <cell r="A162" t="str">
            <v>احمد عصام الدين صادق محمد عبدالله</v>
          </cell>
          <cell r="B162">
            <v>9170593</v>
          </cell>
          <cell r="C162">
            <v>173003</v>
          </cell>
          <cell r="D162">
            <v>29536</v>
          </cell>
          <cell r="E162">
            <v>40</v>
          </cell>
          <cell r="F162">
            <v>20270</v>
          </cell>
          <cell r="G162" t="str">
            <v>المعادى</v>
          </cell>
          <cell r="H162">
            <v>6</v>
          </cell>
          <cell r="I162" t="str">
            <v>Teller</v>
          </cell>
          <cell r="J162">
            <v>40593</v>
          </cell>
        </row>
        <row r="163">
          <cell r="A163" t="str">
            <v>احمد محمد زكريا القراشيلي</v>
          </cell>
          <cell r="B163">
            <v>9171330</v>
          </cell>
          <cell r="C163">
            <v>173004</v>
          </cell>
          <cell r="D163">
            <v>29720</v>
          </cell>
          <cell r="E163">
            <v>39</v>
          </cell>
          <cell r="F163">
            <v>19910</v>
          </cell>
          <cell r="G163" t="str">
            <v>الادارة</v>
          </cell>
          <cell r="H163">
            <v>6</v>
          </cell>
          <cell r="I163" t="str">
            <v>Call Center</v>
          </cell>
          <cell r="J163">
            <v>41330</v>
          </cell>
        </row>
        <row r="164">
          <cell r="A164" t="str">
            <v>احمد محمد نصار مغازي</v>
          </cell>
          <cell r="B164">
            <v>9170052</v>
          </cell>
          <cell r="C164">
            <v>173005</v>
          </cell>
          <cell r="D164">
            <v>29067</v>
          </cell>
          <cell r="E164">
            <v>41</v>
          </cell>
          <cell r="F164">
            <v>21040</v>
          </cell>
          <cell r="G164" t="str">
            <v>المنيل</v>
          </cell>
          <cell r="H164">
            <v>6</v>
          </cell>
          <cell r="I164" t="str">
            <v>Teller</v>
          </cell>
          <cell r="J164">
            <v>40052</v>
          </cell>
        </row>
        <row r="165">
          <cell r="A165" t="str">
            <v>احمد محمود عبدالمنعم عفيفي</v>
          </cell>
          <cell r="B165">
            <v>9171125</v>
          </cell>
          <cell r="C165">
            <v>173006</v>
          </cell>
          <cell r="D165">
            <v>29390</v>
          </cell>
          <cell r="E165">
            <v>40</v>
          </cell>
          <cell r="F165">
            <v>20280</v>
          </cell>
          <cell r="G165" t="str">
            <v>اكتوبر</v>
          </cell>
          <cell r="H165">
            <v>6</v>
          </cell>
          <cell r="I165" t="str">
            <v>Teller</v>
          </cell>
          <cell r="J165">
            <v>41125</v>
          </cell>
        </row>
        <row r="166">
          <cell r="A166" t="str">
            <v>احمد محمود محمد عبدالفتاح</v>
          </cell>
          <cell r="B166">
            <v>9170466</v>
          </cell>
          <cell r="C166">
            <v>173007</v>
          </cell>
          <cell r="D166">
            <v>28998</v>
          </cell>
          <cell r="E166">
            <v>41</v>
          </cell>
          <cell r="F166">
            <v>20730</v>
          </cell>
          <cell r="G166" t="str">
            <v>شبرا</v>
          </cell>
          <cell r="H166">
            <v>6</v>
          </cell>
          <cell r="I166" t="str">
            <v>Treasury</v>
          </cell>
          <cell r="J166">
            <v>40466</v>
          </cell>
        </row>
        <row r="167">
          <cell r="A167" t="str">
            <v>احمد وليد احمد امين</v>
          </cell>
          <cell r="B167">
            <v>9170398</v>
          </cell>
          <cell r="C167">
            <v>173008</v>
          </cell>
          <cell r="D167">
            <v>28851</v>
          </cell>
          <cell r="E167">
            <v>42</v>
          </cell>
          <cell r="F167">
            <v>20900</v>
          </cell>
          <cell r="G167" t="str">
            <v>فيصل</v>
          </cell>
          <cell r="H167">
            <v>6</v>
          </cell>
          <cell r="I167" t="str">
            <v>Teller</v>
          </cell>
          <cell r="J167">
            <v>40398</v>
          </cell>
        </row>
        <row r="168">
          <cell r="A168" t="str">
            <v>افرام يوسف حلمى ناروز</v>
          </cell>
          <cell r="B168">
            <v>9170856</v>
          </cell>
          <cell r="C168">
            <v>173009</v>
          </cell>
          <cell r="D168">
            <v>27459</v>
          </cell>
          <cell r="E168">
            <v>45</v>
          </cell>
          <cell r="F168">
            <v>21170</v>
          </cell>
          <cell r="G168" t="str">
            <v>الادارة</v>
          </cell>
          <cell r="H168">
            <v>2</v>
          </cell>
          <cell r="I168" t="str">
            <v>Audit</v>
          </cell>
          <cell r="J168">
            <v>40856</v>
          </cell>
        </row>
        <row r="169">
          <cell r="A169" t="str">
            <v>اميره احمد رضا مصطفى محمد محرز</v>
          </cell>
          <cell r="B169">
            <v>9170427</v>
          </cell>
          <cell r="C169">
            <v>173010</v>
          </cell>
          <cell r="D169">
            <v>28628</v>
          </cell>
          <cell r="E169">
            <v>42</v>
          </cell>
          <cell r="F169">
            <v>21330</v>
          </cell>
          <cell r="G169" t="str">
            <v>القاهرة</v>
          </cell>
          <cell r="H169">
            <v>6</v>
          </cell>
          <cell r="I169" t="str">
            <v>Teller</v>
          </cell>
          <cell r="J169">
            <v>40427</v>
          </cell>
        </row>
        <row r="170">
          <cell r="A170" t="str">
            <v>ايات مصطفى عبدالوهاب احمد</v>
          </cell>
          <cell r="B170">
            <v>9170318</v>
          </cell>
          <cell r="C170">
            <v>173011</v>
          </cell>
          <cell r="D170">
            <v>28468</v>
          </cell>
          <cell r="E170">
            <v>43</v>
          </cell>
          <cell r="F170">
            <v>21760</v>
          </cell>
          <cell r="G170" t="str">
            <v>الاسكندرية</v>
          </cell>
          <cell r="H170">
            <v>6</v>
          </cell>
          <cell r="I170" t="str">
            <v>Teller</v>
          </cell>
          <cell r="J170">
            <v>40318</v>
          </cell>
        </row>
        <row r="171">
          <cell r="A171" t="str">
            <v>ايمن شوقي شحاتة محمد عزام</v>
          </cell>
          <cell r="B171">
            <v>9170956</v>
          </cell>
          <cell r="C171">
            <v>173012</v>
          </cell>
          <cell r="D171">
            <v>28611</v>
          </cell>
          <cell r="E171">
            <v>42</v>
          </cell>
          <cell r="F171">
            <v>21670</v>
          </cell>
          <cell r="G171" t="str">
            <v>اسوان</v>
          </cell>
          <cell r="H171">
            <v>6</v>
          </cell>
          <cell r="I171" t="str">
            <v>Teller</v>
          </cell>
          <cell r="J171">
            <v>40956</v>
          </cell>
        </row>
        <row r="172">
          <cell r="A172" t="str">
            <v>ايمن عادل على عبدالواحد الاكوح</v>
          </cell>
          <cell r="B172">
            <v>9170058</v>
          </cell>
          <cell r="C172">
            <v>173013</v>
          </cell>
          <cell r="D172">
            <v>28135</v>
          </cell>
          <cell r="E172">
            <v>44</v>
          </cell>
          <cell r="F172">
            <v>22190</v>
          </cell>
          <cell r="G172" t="str">
            <v>شرم الشيخ</v>
          </cell>
          <cell r="H172">
            <v>5</v>
          </cell>
          <cell r="I172" t="str">
            <v>Teller</v>
          </cell>
          <cell r="J172">
            <v>40058</v>
          </cell>
        </row>
        <row r="173">
          <cell r="A173" t="str">
            <v>ايمن عبدالنبي فضل محمد</v>
          </cell>
          <cell r="B173">
            <v>9170145</v>
          </cell>
          <cell r="C173">
            <v>173014</v>
          </cell>
          <cell r="D173">
            <v>28058</v>
          </cell>
          <cell r="E173">
            <v>44</v>
          </cell>
          <cell r="F173">
            <v>22040</v>
          </cell>
          <cell r="G173" t="str">
            <v>الدقهلية</v>
          </cell>
          <cell r="H173">
            <v>5</v>
          </cell>
          <cell r="I173" t="str">
            <v>Teller</v>
          </cell>
          <cell r="J173">
            <v>40145</v>
          </cell>
        </row>
        <row r="174">
          <cell r="A174" t="str">
            <v>حسام احمد محمود ابراهيم</v>
          </cell>
          <cell r="B174">
            <v>9170848</v>
          </cell>
          <cell r="C174">
            <v>173015</v>
          </cell>
          <cell r="D174">
            <v>28226</v>
          </cell>
          <cell r="E174">
            <v>43</v>
          </cell>
          <cell r="F174">
            <v>22020</v>
          </cell>
          <cell r="G174" t="str">
            <v>مرسى مطروح</v>
          </cell>
          <cell r="H174">
            <v>5</v>
          </cell>
          <cell r="I174" t="str">
            <v>Teller</v>
          </cell>
          <cell r="J174">
            <v>40848</v>
          </cell>
        </row>
        <row r="175">
          <cell r="A175" t="str">
            <v>خالد امجد حامد محمد</v>
          </cell>
          <cell r="B175">
            <v>9170455</v>
          </cell>
          <cell r="C175">
            <v>173016</v>
          </cell>
          <cell r="D175">
            <v>27958</v>
          </cell>
          <cell r="E175">
            <v>44</v>
          </cell>
          <cell r="F175">
            <v>22250</v>
          </cell>
          <cell r="G175" t="str">
            <v>بورسعيد</v>
          </cell>
          <cell r="H175">
            <v>5</v>
          </cell>
          <cell r="I175" t="str">
            <v>Treasury</v>
          </cell>
          <cell r="J175">
            <v>40455</v>
          </cell>
        </row>
        <row r="176">
          <cell r="A176" t="str">
            <v>خالد جلال حلمى النمرسي</v>
          </cell>
          <cell r="B176">
            <v>9170115</v>
          </cell>
          <cell r="C176">
            <v>173017</v>
          </cell>
          <cell r="D176">
            <v>27713</v>
          </cell>
          <cell r="E176">
            <v>45</v>
          </cell>
          <cell r="F176">
            <v>22690</v>
          </cell>
          <cell r="G176" t="str">
            <v>الاسماعيلية</v>
          </cell>
          <cell r="H176">
            <v>5</v>
          </cell>
          <cell r="I176" t="str">
            <v>Treasury</v>
          </cell>
          <cell r="J176">
            <v>40115</v>
          </cell>
        </row>
        <row r="177">
          <cell r="A177" t="str">
            <v>خالد معتز حسن محمد محمد نصار</v>
          </cell>
          <cell r="B177">
            <v>9170085</v>
          </cell>
          <cell r="C177">
            <v>173018</v>
          </cell>
          <cell r="D177">
            <v>27592</v>
          </cell>
          <cell r="E177">
            <v>45</v>
          </cell>
          <cell r="F177">
            <v>22750</v>
          </cell>
          <cell r="G177" t="str">
            <v>الوادى الجديد</v>
          </cell>
          <cell r="H177">
            <v>4</v>
          </cell>
          <cell r="I177" t="str">
            <v>Treasury</v>
          </cell>
          <cell r="J177">
            <v>40085</v>
          </cell>
        </row>
        <row r="178">
          <cell r="A178" t="str">
            <v xml:space="preserve">رضوي سامى محمد ابوالفتوح خطاب </v>
          </cell>
          <cell r="B178">
            <v>9170072</v>
          </cell>
          <cell r="C178">
            <v>173019</v>
          </cell>
          <cell r="D178">
            <v>27479</v>
          </cell>
          <cell r="E178">
            <v>45</v>
          </cell>
          <cell r="F178">
            <v>22770</v>
          </cell>
          <cell r="G178" t="str">
            <v>بنى سويف</v>
          </cell>
          <cell r="H178">
            <v>4</v>
          </cell>
          <cell r="I178" t="str">
            <v>Treasury</v>
          </cell>
          <cell r="J178">
            <v>40072</v>
          </cell>
        </row>
        <row r="179">
          <cell r="A179" t="str">
            <v>ريموندا طلعت اسكاروس بسطاورس</v>
          </cell>
          <cell r="B179">
            <v>9170170</v>
          </cell>
          <cell r="C179">
            <v>173020</v>
          </cell>
          <cell r="D179">
            <v>27410</v>
          </cell>
          <cell r="E179">
            <v>46</v>
          </cell>
          <cell r="F179">
            <v>23070</v>
          </cell>
          <cell r="G179" t="str">
            <v>الاقصر</v>
          </cell>
          <cell r="H179">
            <v>4</v>
          </cell>
          <cell r="I179" t="str">
            <v>Treasury</v>
          </cell>
          <cell r="J179">
            <v>40170</v>
          </cell>
        </row>
        <row r="180">
          <cell r="A180" t="str">
            <v>ريهام جمال السيد محمد عثمان</v>
          </cell>
          <cell r="B180">
            <v>9170658</v>
          </cell>
          <cell r="C180">
            <v>173021</v>
          </cell>
          <cell r="D180">
            <v>27493</v>
          </cell>
          <cell r="E180">
            <v>45</v>
          </cell>
          <cell r="F180">
            <v>23060</v>
          </cell>
          <cell r="G180" t="str">
            <v>سوهاج</v>
          </cell>
          <cell r="H180">
            <v>4</v>
          </cell>
          <cell r="I180" t="str">
            <v>Treasury</v>
          </cell>
          <cell r="J180">
            <v>40658</v>
          </cell>
        </row>
        <row r="181">
          <cell r="A181" t="str">
            <v>ريهام على محمد على الحشودي</v>
          </cell>
          <cell r="B181">
            <v>9170545</v>
          </cell>
          <cell r="C181">
            <v>173022</v>
          </cell>
          <cell r="D181">
            <v>27343</v>
          </cell>
          <cell r="E181">
            <v>46</v>
          </cell>
          <cell r="F181">
            <v>23290</v>
          </cell>
          <cell r="G181" t="str">
            <v>بنى عبيد</v>
          </cell>
          <cell r="H181">
            <v>4</v>
          </cell>
          <cell r="I181" t="str">
            <v>Treasury</v>
          </cell>
          <cell r="J181">
            <v>40545</v>
          </cell>
        </row>
        <row r="182">
          <cell r="A182" t="str">
            <v>ساره رافت إميل حنين</v>
          </cell>
          <cell r="B182">
            <v>9170604</v>
          </cell>
          <cell r="C182">
            <v>173023</v>
          </cell>
          <cell r="D182">
            <v>27260</v>
          </cell>
          <cell r="E182">
            <v>46</v>
          </cell>
          <cell r="F182">
            <v>23160</v>
          </cell>
          <cell r="G182" t="str">
            <v>الفيوم</v>
          </cell>
          <cell r="H182">
            <v>4</v>
          </cell>
          <cell r="I182" t="str">
            <v>Treasury</v>
          </cell>
          <cell r="J182">
            <v>40604</v>
          </cell>
        </row>
        <row r="183">
          <cell r="A183" t="str">
            <v>ساره محمد احمد لطفي المرسي</v>
          </cell>
          <cell r="B183">
            <v>9170659</v>
          </cell>
          <cell r="C183">
            <v>173024</v>
          </cell>
          <cell r="D183">
            <v>27176</v>
          </cell>
          <cell r="E183">
            <v>46</v>
          </cell>
          <cell r="F183">
            <v>23150</v>
          </cell>
          <cell r="G183" t="str">
            <v>اسوان</v>
          </cell>
          <cell r="H183">
            <v>4</v>
          </cell>
          <cell r="I183" t="str">
            <v>Branch manager</v>
          </cell>
          <cell r="J183">
            <v>40659</v>
          </cell>
        </row>
        <row r="184">
          <cell r="A184" t="str">
            <v>ساره ياسر كمال مدكور</v>
          </cell>
          <cell r="B184">
            <v>9170980</v>
          </cell>
          <cell r="C184">
            <v>173025</v>
          </cell>
          <cell r="D184">
            <v>27195</v>
          </cell>
          <cell r="E184">
            <v>46</v>
          </cell>
          <cell r="F184">
            <v>23340</v>
          </cell>
          <cell r="G184" t="str">
            <v>شرم الشيخ</v>
          </cell>
          <cell r="H184">
            <v>4</v>
          </cell>
          <cell r="I184" t="str">
            <v>Branch manager</v>
          </cell>
          <cell r="J184">
            <v>40980</v>
          </cell>
        </row>
        <row r="185">
          <cell r="A185" t="str">
            <v>سفيان محمود السيد السيد ابوحمده</v>
          </cell>
          <cell r="B185">
            <v>9170481</v>
          </cell>
          <cell r="C185">
            <v>173026</v>
          </cell>
          <cell r="D185">
            <v>26901</v>
          </cell>
          <cell r="E185">
            <v>47</v>
          </cell>
          <cell r="F185">
            <v>23540</v>
          </cell>
          <cell r="G185" t="str">
            <v>الدقهلية</v>
          </cell>
          <cell r="H185">
            <v>4</v>
          </cell>
          <cell r="I185" t="str">
            <v>Treasury</v>
          </cell>
          <cell r="J185">
            <v>40481</v>
          </cell>
        </row>
        <row r="186">
          <cell r="A186" t="str">
            <v>سلمى ابراهيم اسماعيل محمود عيد</v>
          </cell>
          <cell r="B186">
            <v>9170251</v>
          </cell>
          <cell r="C186">
            <v>173027</v>
          </cell>
          <cell r="D186">
            <v>26711</v>
          </cell>
          <cell r="E186">
            <v>48</v>
          </cell>
          <cell r="F186">
            <v>24020</v>
          </cell>
          <cell r="G186" t="str">
            <v>مرسى مطروح</v>
          </cell>
          <cell r="H186">
            <v>3</v>
          </cell>
          <cell r="I186" t="str">
            <v>Branch manager</v>
          </cell>
          <cell r="J186">
            <v>40251</v>
          </cell>
        </row>
        <row r="187">
          <cell r="A187" t="str">
            <v>سلمى محمد على محمد محمد</v>
          </cell>
          <cell r="B187">
            <v>9170045</v>
          </cell>
          <cell r="C187">
            <v>173028</v>
          </cell>
          <cell r="D187">
            <v>26532</v>
          </cell>
          <cell r="E187">
            <v>48</v>
          </cell>
          <cell r="F187">
            <v>24120</v>
          </cell>
          <cell r="G187" t="str">
            <v>بورسعيد</v>
          </cell>
          <cell r="H187">
            <v>4</v>
          </cell>
          <cell r="I187" t="str">
            <v>Branch manager</v>
          </cell>
          <cell r="J187">
            <v>40045</v>
          </cell>
        </row>
        <row r="188">
          <cell r="A188" t="str">
            <v>شادي فهمى عبدالحافظ ابراهيم</v>
          </cell>
          <cell r="B188">
            <v>9170018</v>
          </cell>
          <cell r="C188">
            <v>173029</v>
          </cell>
          <cell r="D188">
            <v>26421</v>
          </cell>
          <cell r="E188">
            <v>48</v>
          </cell>
          <cell r="F188">
            <v>24650</v>
          </cell>
          <cell r="G188" t="str">
            <v>الاسماعيلية</v>
          </cell>
          <cell r="H188">
            <v>4</v>
          </cell>
          <cell r="I188" t="str">
            <v>Branch manager</v>
          </cell>
          <cell r="J188">
            <v>40018</v>
          </cell>
        </row>
        <row r="189">
          <cell r="A189" t="str">
            <v>شريف عصام احمد محمود</v>
          </cell>
          <cell r="B189">
            <v>9171119</v>
          </cell>
          <cell r="C189">
            <v>173030</v>
          </cell>
          <cell r="D189">
            <v>26736</v>
          </cell>
          <cell r="E189">
            <v>47</v>
          </cell>
          <cell r="F189">
            <v>24030</v>
          </cell>
          <cell r="G189" t="str">
            <v>الوادى الجديد</v>
          </cell>
          <cell r="H189">
            <v>4</v>
          </cell>
          <cell r="I189" t="str">
            <v>Teller</v>
          </cell>
          <cell r="J189">
            <v>41119</v>
          </cell>
        </row>
        <row r="190">
          <cell r="A190" t="str">
            <v>عبدالرحمن خالد حسن محمد الشافعي</v>
          </cell>
          <cell r="B190">
            <v>9171042</v>
          </cell>
          <cell r="C190">
            <v>173031</v>
          </cell>
          <cell r="D190">
            <v>26607</v>
          </cell>
          <cell r="E190">
            <v>48</v>
          </cell>
          <cell r="F190">
            <v>24410</v>
          </cell>
          <cell r="G190" t="str">
            <v>بنى سويف</v>
          </cell>
          <cell r="H190">
            <v>4</v>
          </cell>
          <cell r="I190" t="str">
            <v>Branch manager</v>
          </cell>
          <cell r="J190">
            <v>41042</v>
          </cell>
        </row>
        <row r="191">
          <cell r="A191" t="str">
            <v>عبدالرحمن محمد احمد الجميل احمد</v>
          </cell>
          <cell r="B191">
            <v>9170126</v>
          </cell>
          <cell r="C191">
            <v>173032</v>
          </cell>
          <cell r="D191">
            <v>26166</v>
          </cell>
          <cell r="E191">
            <v>49</v>
          </cell>
          <cell r="F191">
            <v>24620</v>
          </cell>
          <cell r="G191" t="str">
            <v>الاقصر</v>
          </cell>
          <cell r="H191">
            <v>4</v>
          </cell>
          <cell r="I191" t="str">
            <v>Branch manager</v>
          </cell>
          <cell r="J191">
            <v>40126</v>
          </cell>
        </row>
        <row r="192">
          <cell r="A192" t="str">
            <v>عبدالرحمن محمد بدر غانم</v>
          </cell>
          <cell r="B192">
            <v>9170259</v>
          </cell>
          <cell r="C192">
            <v>173033</v>
          </cell>
          <cell r="D192">
            <v>26118</v>
          </cell>
          <cell r="E192">
            <v>49</v>
          </cell>
          <cell r="F192">
            <v>25010</v>
          </cell>
          <cell r="G192" t="str">
            <v>سوهاج</v>
          </cell>
          <cell r="H192">
            <v>3</v>
          </cell>
          <cell r="I192" t="str">
            <v>Branch manager</v>
          </cell>
          <cell r="J192">
            <v>40259</v>
          </cell>
        </row>
        <row r="193">
          <cell r="A193" t="str">
            <v>عبدالله عزت عبدالستار محمد</v>
          </cell>
          <cell r="B193">
            <v>9170218</v>
          </cell>
          <cell r="C193">
            <v>173034</v>
          </cell>
          <cell r="D193">
            <v>26006</v>
          </cell>
          <cell r="E193">
            <v>49</v>
          </cell>
          <cell r="F193">
            <v>25010</v>
          </cell>
          <cell r="G193" t="str">
            <v>بنى عبيد</v>
          </cell>
          <cell r="H193">
            <v>3</v>
          </cell>
          <cell r="I193" t="str">
            <v>Branch manager</v>
          </cell>
          <cell r="J193">
            <v>40218</v>
          </cell>
        </row>
        <row r="194">
          <cell r="A194" t="str">
            <v>على خالد على محمد محمد محبوب</v>
          </cell>
          <cell r="B194">
            <v>9170061</v>
          </cell>
          <cell r="C194">
            <v>173035</v>
          </cell>
          <cell r="D194">
            <v>25852</v>
          </cell>
          <cell r="E194">
            <v>50</v>
          </cell>
          <cell r="F194">
            <v>25320</v>
          </cell>
          <cell r="G194" t="str">
            <v>الادارة</v>
          </cell>
          <cell r="H194">
            <v>2</v>
          </cell>
          <cell r="I194" t="str">
            <v>Procurement</v>
          </cell>
          <cell r="J194">
            <v>40061</v>
          </cell>
        </row>
        <row r="195">
          <cell r="A195" t="str">
            <v>على رمزي حسن على عبدالله</v>
          </cell>
          <cell r="B195">
            <v>9170836</v>
          </cell>
          <cell r="C195">
            <v>173036</v>
          </cell>
          <cell r="D195">
            <v>26042</v>
          </cell>
          <cell r="E195">
            <v>49</v>
          </cell>
          <cell r="F195">
            <v>24860</v>
          </cell>
          <cell r="G195" t="str">
            <v>الادارة</v>
          </cell>
          <cell r="H195">
            <v>2</v>
          </cell>
          <cell r="I195" t="str">
            <v>GTRF</v>
          </cell>
          <cell r="J195">
            <v>40836</v>
          </cell>
        </row>
        <row r="196">
          <cell r="A196" t="str">
            <v>عمر احمد دسوقي احمد</v>
          </cell>
          <cell r="B196">
            <v>9170743</v>
          </cell>
          <cell r="C196">
            <v>173037</v>
          </cell>
          <cell r="D196">
            <v>25913</v>
          </cell>
          <cell r="E196">
            <v>50</v>
          </cell>
          <cell r="F196">
            <v>25220</v>
          </cell>
          <cell r="G196" t="str">
            <v>الادارة</v>
          </cell>
          <cell r="H196">
            <v>2</v>
          </cell>
          <cell r="I196" t="str">
            <v>FCC</v>
          </cell>
          <cell r="J196">
            <v>40743</v>
          </cell>
        </row>
        <row r="197">
          <cell r="A197" t="str">
            <v>عمر صلاح على عبدالفتاح</v>
          </cell>
          <cell r="B197">
            <v>9170810</v>
          </cell>
          <cell r="C197">
            <v>173038</v>
          </cell>
          <cell r="D197">
            <v>25843</v>
          </cell>
          <cell r="E197">
            <v>50</v>
          </cell>
          <cell r="F197">
            <v>25500</v>
          </cell>
          <cell r="G197" t="str">
            <v>الجيزة</v>
          </cell>
          <cell r="H197">
            <v>4</v>
          </cell>
          <cell r="I197" t="str">
            <v>Teller</v>
          </cell>
          <cell r="J197">
            <v>40810</v>
          </cell>
        </row>
        <row r="198">
          <cell r="A198" t="str">
            <v>عمرو ابوشامة على الزهري</v>
          </cell>
          <cell r="B198">
            <v>9170204</v>
          </cell>
          <cell r="C198">
            <v>173039</v>
          </cell>
          <cell r="D198">
            <v>31766</v>
          </cell>
          <cell r="E198">
            <v>34</v>
          </cell>
          <cell r="F198">
            <v>17040</v>
          </cell>
          <cell r="G198" t="str">
            <v>قنا</v>
          </cell>
          <cell r="H198">
            <v>8</v>
          </cell>
          <cell r="I198" t="str">
            <v>Cs</v>
          </cell>
          <cell r="J198">
            <v>40204</v>
          </cell>
        </row>
        <row r="199">
          <cell r="A199" t="str">
            <v>عمرو احمد عبدالباقي محمود</v>
          </cell>
          <cell r="B199">
            <v>9170039</v>
          </cell>
          <cell r="C199">
            <v>173040</v>
          </cell>
          <cell r="D199">
            <v>31549</v>
          </cell>
          <cell r="E199">
            <v>34</v>
          </cell>
          <cell r="F199">
            <v>17350</v>
          </cell>
          <cell r="G199" t="str">
            <v>المنوفية</v>
          </cell>
          <cell r="H199">
            <v>8</v>
          </cell>
          <cell r="I199" t="str">
            <v>Credit Services</v>
          </cell>
          <cell r="J199">
            <v>40039</v>
          </cell>
        </row>
        <row r="200">
          <cell r="A200" t="str">
            <v>فيلوباتير نبيل عطيه عبدالمسيح</v>
          </cell>
          <cell r="B200">
            <v>9170745</v>
          </cell>
          <cell r="C200">
            <v>173041</v>
          </cell>
          <cell r="D200">
            <v>31724</v>
          </cell>
          <cell r="E200">
            <v>34</v>
          </cell>
          <cell r="F200">
            <v>17330</v>
          </cell>
          <cell r="G200" t="str">
            <v>الادارة</v>
          </cell>
          <cell r="H200">
            <v>8</v>
          </cell>
          <cell r="I200" t="str">
            <v>Call Center</v>
          </cell>
          <cell r="J200">
            <v>40745</v>
          </cell>
        </row>
        <row r="201">
          <cell r="A201" t="str">
            <v>كريم اسامه ابراهيم السيد</v>
          </cell>
          <cell r="B201">
            <v>9170103</v>
          </cell>
          <cell r="C201">
            <v>173042</v>
          </cell>
          <cell r="D201">
            <v>31295</v>
          </cell>
          <cell r="E201">
            <v>35</v>
          </cell>
          <cell r="F201">
            <v>17990</v>
          </cell>
          <cell r="G201" t="str">
            <v>الادارة</v>
          </cell>
          <cell r="H201">
            <v>8</v>
          </cell>
          <cell r="I201" t="str">
            <v>KYC</v>
          </cell>
          <cell r="J201">
            <v>40103</v>
          </cell>
        </row>
        <row r="202">
          <cell r="A202" t="str">
            <v>كريم عمر مصطفى احمد</v>
          </cell>
          <cell r="B202">
            <v>9150951</v>
          </cell>
          <cell r="C202">
            <v>173043</v>
          </cell>
          <cell r="D202">
            <v>22644</v>
          </cell>
          <cell r="E202">
            <v>59</v>
          </cell>
          <cell r="F202">
            <v>29930</v>
          </cell>
          <cell r="G202" t="str">
            <v>القاهرة</v>
          </cell>
          <cell r="H202">
            <v>3</v>
          </cell>
          <cell r="I202" t="str">
            <v>Branch manager</v>
          </cell>
          <cell r="J202">
            <v>40951</v>
          </cell>
        </row>
        <row r="203">
          <cell r="A203" t="str">
            <v>مارك ناجي نبيل شفيق</v>
          </cell>
          <cell r="B203">
            <v>9171085</v>
          </cell>
          <cell r="C203">
            <v>173044</v>
          </cell>
          <cell r="D203">
            <v>31453</v>
          </cell>
          <cell r="E203">
            <v>35</v>
          </cell>
          <cell r="F203">
            <v>17640</v>
          </cell>
          <cell r="G203" t="str">
            <v>طنطا</v>
          </cell>
          <cell r="H203">
            <v>8</v>
          </cell>
          <cell r="I203" t="str">
            <v>CS</v>
          </cell>
          <cell r="J203">
            <v>41085</v>
          </cell>
        </row>
        <row r="204">
          <cell r="A204" t="str">
            <v>مازن عمرو فوزي محمد سليمان</v>
          </cell>
          <cell r="B204">
            <v>9171064</v>
          </cell>
          <cell r="C204">
            <v>173045</v>
          </cell>
          <cell r="D204">
            <v>31305</v>
          </cell>
          <cell r="E204">
            <v>35</v>
          </cell>
          <cell r="F204">
            <v>17790</v>
          </cell>
          <cell r="G204" t="str">
            <v>دمياط</v>
          </cell>
          <cell r="H204">
            <v>8</v>
          </cell>
          <cell r="I204" t="str">
            <v>CS</v>
          </cell>
          <cell r="J204">
            <v>41064</v>
          </cell>
        </row>
        <row r="205">
          <cell r="A205" t="str">
            <v>محمد احمد ابراهيم عبدالعزيز غنيم</v>
          </cell>
          <cell r="B205">
            <v>9170537</v>
          </cell>
          <cell r="C205">
            <v>173046</v>
          </cell>
          <cell r="D205">
            <v>30937</v>
          </cell>
          <cell r="E205">
            <v>36</v>
          </cell>
          <cell r="F205">
            <v>18350</v>
          </cell>
          <cell r="G205" t="str">
            <v>كفر الشيخ</v>
          </cell>
          <cell r="H205">
            <v>8</v>
          </cell>
          <cell r="I205" t="str">
            <v>CS</v>
          </cell>
          <cell r="J205">
            <v>40537</v>
          </cell>
        </row>
        <row r="206">
          <cell r="A206" t="str">
            <v>محمد احمد محمد احمد دردير</v>
          </cell>
          <cell r="B206">
            <v>9170294</v>
          </cell>
          <cell r="C206">
            <v>173047</v>
          </cell>
          <cell r="D206">
            <v>30696</v>
          </cell>
          <cell r="E206">
            <v>37</v>
          </cell>
          <cell r="F206">
            <v>18590</v>
          </cell>
          <cell r="G206" t="str">
            <v>المنيا</v>
          </cell>
          <cell r="H206">
            <v>8</v>
          </cell>
          <cell r="I206" t="str">
            <v>CS</v>
          </cell>
          <cell r="J206">
            <v>40294</v>
          </cell>
        </row>
        <row r="207">
          <cell r="A207" t="str">
            <v>محمد ايمن محمد صادق سيد البرلي</v>
          </cell>
          <cell r="B207">
            <v>9170119</v>
          </cell>
          <cell r="C207">
            <v>173048</v>
          </cell>
          <cell r="D207">
            <v>30486</v>
          </cell>
          <cell r="E207">
            <v>37</v>
          </cell>
          <cell r="F207">
            <v>18760</v>
          </cell>
          <cell r="G207" t="str">
            <v>العين السخنة</v>
          </cell>
          <cell r="H207">
            <v>7</v>
          </cell>
          <cell r="I207" t="str">
            <v>CS</v>
          </cell>
          <cell r="J207">
            <v>40119</v>
          </cell>
        </row>
        <row r="208">
          <cell r="A208" t="str">
            <v>محمد خير عبدالله شاهين</v>
          </cell>
          <cell r="B208">
            <v>9171539</v>
          </cell>
          <cell r="C208">
            <v>173049</v>
          </cell>
          <cell r="D208">
            <v>30969</v>
          </cell>
          <cell r="E208">
            <v>36</v>
          </cell>
          <cell r="F208">
            <v>18260</v>
          </cell>
          <cell r="G208" t="str">
            <v>فايد</v>
          </cell>
          <cell r="H208">
            <v>8</v>
          </cell>
          <cell r="I208" t="str">
            <v>Teller</v>
          </cell>
          <cell r="J208">
            <v>41539</v>
          </cell>
        </row>
        <row r="209">
          <cell r="A209" t="str">
            <v>محمد رمزي حلمى ابراهيم عبيد</v>
          </cell>
          <cell r="B209">
            <v>9170222</v>
          </cell>
          <cell r="C209">
            <v>173050</v>
          </cell>
          <cell r="D209">
            <v>30268</v>
          </cell>
          <cell r="E209">
            <v>38</v>
          </cell>
          <cell r="F209">
            <v>19230</v>
          </cell>
          <cell r="G209" t="str">
            <v>العلمين</v>
          </cell>
          <cell r="H209">
            <v>7</v>
          </cell>
          <cell r="I209" t="str">
            <v>CS</v>
          </cell>
          <cell r="J209">
            <v>40222</v>
          </cell>
        </row>
        <row r="210">
          <cell r="A210" t="str">
            <v>محمد سالم محمد الكردى عامر</v>
          </cell>
          <cell r="B210">
            <v>9091543</v>
          </cell>
          <cell r="C210">
            <v>173051</v>
          </cell>
          <cell r="D210">
            <v>30514</v>
          </cell>
          <cell r="E210">
            <v>37</v>
          </cell>
          <cell r="F210">
            <v>18750</v>
          </cell>
          <cell r="G210" t="str">
            <v>الساحل الشمالى</v>
          </cell>
          <cell r="H210">
            <v>7</v>
          </cell>
          <cell r="I210" t="str">
            <v>CS</v>
          </cell>
          <cell r="J210">
            <v>41543</v>
          </cell>
        </row>
        <row r="211">
          <cell r="A211" t="str">
            <v>محمد سيد مهدى محمود</v>
          </cell>
          <cell r="B211">
            <v>9170898</v>
          </cell>
          <cell r="C211">
            <v>173052</v>
          </cell>
          <cell r="D211">
            <v>30298</v>
          </cell>
          <cell r="E211">
            <v>38</v>
          </cell>
          <cell r="F211">
            <v>19180</v>
          </cell>
          <cell r="G211" t="str">
            <v>القرية الذكية</v>
          </cell>
          <cell r="H211">
            <v>7</v>
          </cell>
          <cell r="I211" t="str">
            <v>CS</v>
          </cell>
          <cell r="J211">
            <v>40898</v>
          </cell>
        </row>
        <row r="212">
          <cell r="A212" t="str">
            <v>محمد شوقي زكي عبدالعال سبع</v>
          </cell>
          <cell r="B212">
            <v>9170617</v>
          </cell>
          <cell r="C212">
            <v>173053</v>
          </cell>
          <cell r="D212">
            <v>30049</v>
          </cell>
          <cell r="E212">
            <v>38</v>
          </cell>
          <cell r="F212">
            <v>19580</v>
          </cell>
          <cell r="G212" t="str">
            <v>المهندسين</v>
          </cell>
          <cell r="H212">
            <v>7</v>
          </cell>
          <cell r="I212" t="str">
            <v>Teller</v>
          </cell>
          <cell r="J212">
            <v>40617</v>
          </cell>
        </row>
        <row r="213">
          <cell r="A213" t="str">
            <v>محمد عبدالله احمد محمد عبدالله</v>
          </cell>
          <cell r="B213">
            <v>9170750</v>
          </cell>
          <cell r="C213">
            <v>173054</v>
          </cell>
          <cell r="D213">
            <v>30614</v>
          </cell>
          <cell r="E213">
            <v>37</v>
          </cell>
          <cell r="F213">
            <v>18540</v>
          </cell>
          <cell r="G213" t="str">
            <v>المنصورة</v>
          </cell>
          <cell r="H213">
            <v>8</v>
          </cell>
          <cell r="I213" t="str">
            <v>Operation</v>
          </cell>
          <cell r="J213">
            <v>40750</v>
          </cell>
        </row>
        <row r="214">
          <cell r="A214" t="str">
            <v>محمد محمد جهاد شرف</v>
          </cell>
          <cell r="B214">
            <v>9111897</v>
          </cell>
          <cell r="C214">
            <v>173055</v>
          </cell>
          <cell r="D214">
            <v>23794</v>
          </cell>
          <cell r="E214">
            <v>56</v>
          </cell>
          <cell r="F214">
            <v>27920</v>
          </cell>
          <cell r="G214" t="str">
            <v>الشرقية</v>
          </cell>
          <cell r="H214">
            <v>3</v>
          </cell>
          <cell r="I214" t="str">
            <v>Branch manager</v>
          </cell>
          <cell r="J214">
            <v>41897</v>
          </cell>
        </row>
        <row r="215">
          <cell r="A215" t="str">
            <v>محمد مختار عبدالرازق محمود</v>
          </cell>
          <cell r="B215">
            <v>9170445</v>
          </cell>
          <cell r="C215">
            <v>173056</v>
          </cell>
          <cell r="D215">
            <v>28054</v>
          </cell>
          <cell r="E215">
            <v>44</v>
          </cell>
          <cell r="F215">
            <v>22120</v>
          </cell>
          <cell r="G215" t="str">
            <v>الفيوم</v>
          </cell>
          <cell r="H215">
            <v>5</v>
          </cell>
          <cell r="I215" t="str">
            <v>Teller</v>
          </cell>
          <cell r="J215">
            <v>40445</v>
          </cell>
        </row>
        <row r="216">
          <cell r="A216" t="str">
            <v>محمود احمد سباق محمد</v>
          </cell>
          <cell r="B216">
            <v>9171065</v>
          </cell>
          <cell r="C216">
            <v>173057</v>
          </cell>
          <cell r="D216">
            <v>28290</v>
          </cell>
          <cell r="E216">
            <v>43</v>
          </cell>
          <cell r="F216">
            <v>21860</v>
          </cell>
          <cell r="G216" t="str">
            <v>القاهرة الجديدة</v>
          </cell>
          <cell r="H216">
            <v>5</v>
          </cell>
          <cell r="I216" t="str">
            <v>Treasury</v>
          </cell>
          <cell r="J216">
            <v>41065</v>
          </cell>
        </row>
        <row r="217">
          <cell r="A217" t="str">
            <v>محمود عثمان محمود ابراهيم عدس</v>
          </cell>
          <cell r="B217">
            <v>9160378</v>
          </cell>
          <cell r="C217">
            <v>173058</v>
          </cell>
          <cell r="D217">
            <v>24026</v>
          </cell>
          <cell r="E217">
            <v>55</v>
          </cell>
          <cell r="F217">
            <v>27820</v>
          </cell>
          <cell r="G217" t="str">
            <v>الغردقة</v>
          </cell>
          <cell r="H217">
            <v>3</v>
          </cell>
          <cell r="I217" t="str">
            <v>Branch manager</v>
          </cell>
          <cell r="J217">
            <v>40378</v>
          </cell>
        </row>
        <row r="218">
          <cell r="A218" t="str">
            <v>محمود محمد محمود على عبدالرحيم</v>
          </cell>
          <cell r="B218">
            <v>9170704</v>
          </cell>
          <cell r="C218">
            <v>173059</v>
          </cell>
          <cell r="D218">
            <v>28124</v>
          </cell>
          <cell r="E218">
            <v>44</v>
          </cell>
          <cell r="F218">
            <v>22410</v>
          </cell>
          <cell r="G218" t="str">
            <v>السويس</v>
          </cell>
          <cell r="H218">
            <v>5</v>
          </cell>
          <cell r="I218" t="str">
            <v>Teller</v>
          </cell>
          <cell r="J218">
            <v>40704</v>
          </cell>
        </row>
        <row r="219">
          <cell r="A219" t="str">
            <v>مريم هشام محمد محمودهيبه</v>
          </cell>
          <cell r="B219">
            <v>9171172</v>
          </cell>
          <cell r="C219">
            <v>173060</v>
          </cell>
          <cell r="D219">
            <v>28299</v>
          </cell>
          <cell r="E219">
            <v>43</v>
          </cell>
          <cell r="F219">
            <v>21680</v>
          </cell>
          <cell r="G219" t="str">
            <v>المعادى</v>
          </cell>
          <cell r="H219">
            <v>5</v>
          </cell>
          <cell r="I219" t="str">
            <v>Teller</v>
          </cell>
          <cell r="J219">
            <v>41172</v>
          </cell>
        </row>
        <row r="220">
          <cell r="A220" t="str">
            <v>مصطفى وليد جعفر زكريا</v>
          </cell>
          <cell r="B220">
            <v>9170082</v>
          </cell>
          <cell r="C220">
            <v>173061</v>
          </cell>
          <cell r="D220">
            <v>27854</v>
          </cell>
          <cell r="E220">
            <v>44</v>
          </cell>
          <cell r="F220">
            <v>22660</v>
          </cell>
          <cell r="G220" t="str">
            <v>الجيزة</v>
          </cell>
          <cell r="H220">
            <v>5</v>
          </cell>
          <cell r="I220" t="str">
            <v>Teller</v>
          </cell>
          <cell r="J220">
            <v>40082</v>
          </cell>
        </row>
        <row r="221">
          <cell r="A221" t="str">
            <v>منه الله فكري عبدالمعبود المغازي</v>
          </cell>
          <cell r="B221">
            <v>9170670</v>
          </cell>
          <cell r="C221">
            <v>173062</v>
          </cell>
          <cell r="D221">
            <v>28077</v>
          </cell>
          <cell r="E221">
            <v>44</v>
          </cell>
          <cell r="F221">
            <v>22230</v>
          </cell>
          <cell r="G221" t="str">
            <v>المنيل</v>
          </cell>
          <cell r="H221">
            <v>5</v>
          </cell>
          <cell r="I221" t="str">
            <v>Teller</v>
          </cell>
          <cell r="J221">
            <v>40670</v>
          </cell>
        </row>
        <row r="222">
          <cell r="A222" t="str">
            <v>مهند عاطف مصطفى مكاوي</v>
          </cell>
          <cell r="B222">
            <v>9170912</v>
          </cell>
          <cell r="C222">
            <v>173063</v>
          </cell>
          <cell r="D222">
            <v>28162</v>
          </cell>
          <cell r="E222">
            <v>44</v>
          </cell>
          <cell r="F222">
            <v>22220</v>
          </cell>
          <cell r="G222" t="str">
            <v>اكتوبر</v>
          </cell>
          <cell r="H222">
            <v>5</v>
          </cell>
          <cell r="I222" t="str">
            <v>Teller</v>
          </cell>
          <cell r="J222">
            <v>40912</v>
          </cell>
        </row>
        <row r="223">
          <cell r="A223" t="str">
            <v>مى مصطفى ابراهيم حلمى السيد</v>
          </cell>
          <cell r="B223">
            <v>9181706</v>
          </cell>
          <cell r="C223">
            <v>173064</v>
          </cell>
          <cell r="D223">
            <v>32435</v>
          </cell>
          <cell r="E223">
            <v>32</v>
          </cell>
          <cell r="F223">
            <v>16160</v>
          </cell>
          <cell r="G223" t="str">
            <v>شبرا</v>
          </cell>
          <cell r="H223">
            <v>8</v>
          </cell>
          <cell r="I223" t="str">
            <v>CS</v>
          </cell>
          <cell r="J223">
            <v>41706</v>
          </cell>
        </row>
        <row r="224">
          <cell r="A224" t="str">
            <v>نادر عبدالغني محمد ابوالحمد</v>
          </cell>
          <cell r="B224">
            <v>9171114</v>
          </cell>
          <cell r="C224">
            <v>173065</v>
          </cell>
          <cell r="D224">
            <v>28219</v>
          </cell>
          <cell r="E224">
            <v>43</v>
          </cell>
          <cell r="F224">
            <v>22160</v>
          </cell>
          <cell r="G224" t="str">
            <v>فيصل</v>
          </cell>
          <cell r="H224">
            <v>5</v>
          </cell>
          <cell r="I224" t="str">
            <v>Treasury</v>
          </cell>
          <cell r="J224">
            <v>41114</v>
          </cell>
        </row>
        <row r="225">
          <cell r="A225" t="str">
            <v>ندى عادل محمدي النحريري</v>
          </cell>
          <cell r="B225">
            <v>9170426</v>
          </cell>
          <cell r="C225">
            <v>173066</v>
          </cell>
          <cell r="D225">
            <v>27935</v>
          </cell>
          <cell r="E225">
            <v>44</v>
          </cell>
          <cell r="F225">
            <v>22160</v>
          </cell>
          <cell r="G225" t="str">
            <v>الادارة</v>
          </cell>
          <cell r="H225">
            <v>2</v>
          </cell>
          <cell r="I225" t="str">
            <v>Internal Cotrol</v>
          </cell>
          <cell r="J225">
            <v>40426</v>
          </cell>
        </row>
        <row r="226">
          <cell r="A226" t="str">
            <v>نهال عبدالقادر الجبري بيومي</v>
          </cell>
          <cell r="B226">
            <v>9170973</v>
          </cell>
          <cell r="C226">
            <v>173067</v>
          </cell>
          <cell r="D226">
            <v>28141</v>
          </cell>
          <cell r="E226">
            <v>44</v>
          </cell>
          <cell r="F226">
            <v>22070</v>
          </cell>
          <cell r="G226" t="str">
            <v>القاهرة</v>
          </cell>
          <cell r="H226">
            <v>5</v>
          </cell>
          <cell r="I226" t="str">
            <v>Treasury</v>
          </cell>
          <cell r="J226">
            <v>40973</v>
          </cell>
        </row>
        <row r="227">
          <cell r="A227" t="str">
            <v>نور احمد محمود علي</v>
          </cell>
          <cell r="B227">
            <v>9170420</v>
          </cell>
          <cell r="C227">
            <v>173068</v>
          </cell>
          <cell r="D227">
            <v>27911</v>
          </cell>
          <cell r="E227">
            <v>44</v>
          </cell>
          <cell r="F227">
            <v>22640</v>
          </cell>
          <cell r="G227" t="str">
            <v>الاسكندرية</v>
          </cell>
          <cell r="H227">
            <v>5</v>
          </cell>
          <cell r="I227" t="str">
            <v>Teller</v>
          </cell>
          <cell r="J227">
            <v>40420</v>
          </cell>
        </row>
        <row r="228">
          <cell r="A228" t="str">
            <v>نور ناصر فوزي محمد خليفة</v>
          </cell>
          <cell r="B228">
            <v>9170928</v>
          </cell>
          <cell r="C228">
            <v>173069</v>
          </cell>
          <cell r="D228">
            <v>28101</v>
          </cell>
          <cell r="E228">
            <v>44</v>
          </cell>
          <cell r="F228">
            <v>22300</v>
          </cell>
          <cell r="G228" t="str">
            <v>اسوان</v>
          </cell>
          <cell r="H228">
            <v>5</v>
          </cell>
          <cell r="I228" t="str">
            <v>Treasury manager</v>
          </cell>
          <cell r="J228">
            <v>40928</v>
          </cell>
        </row>
        <row r="229">
          <cell r="A229" t="str">
            <v>نورهان جمال محمود محمود</v>
          </cell>
          <cell r="B229">
            <v>9171173</v>
          </cell>
          <cell r="C229">
            <v>173070</v>
          </cell>
          <cell r="D229">
            <v>28187</v>
          </cell>
          <cell r="E229">
            <v>44</v>
          </cell>
          <cell r="F229">
            <v>22230</v>
          </cell>
          <cell r="G229" t="str">
            <v>شرم الشيخ</v>
          </cell>
          <cell r="H229">
            <v>5</v>
          </cell>
          <cell r="I229" t="str">
            <v>Treasury</v>
          </cell>
          <cell r="J229">
            <v>41173</v>
          </cell>
        </row>
        <row r="230">
          <cell r="A230" t="str">
            <v>هاجر احمد محمد عبدالقادر</v>
          </cell>
          <cell r="B230">
            <v>9160139</v>
          </cell>
          <cell r="C230">
            <v>173071</v>
          </cell>
          <cell r="D230">
            <v>23807</v>
          </cell>
          <cell r="E230">
            <v>55</v>
          </cell>
          <cell r="F230">
            <v>28170</v>
          </cell>
          <cell r="G230" t="str">
            <v>الدقهلية</v>
          </cell>
          <cell r="H230">
            <v>2</v>
          </cell>
          <cell r="I230" t="str">
            <v>Branch manager</v>
          </cell>
          <cell r="J230">
            <v>40139</v>
          </cell>
        </row>
        <row r="231">
          <cell r="A231" t="str">
            <v xml:space="preserve">يسرى محمد يسرى محمد احمد </v>
          </cell>
          <cell r="B231">
            <v>9171714</v>
          </cell>
          <cell r="C231">
            <v>173072</v>
          </cell>
          <cell r="D231">
            <v>28379</v>
          </cell>
          <cell r="E231">
            <v>43</v>
          </cell>
          <cell r="F231">
            <v>21870</v>
          </cell>
          <cell r="G231" t="str">
            <v>مرسى مطروح</v>
          </cell>
          <cell r="H231">
            <v>6</v>
          </cell>
          <cell r="I231" t="str">
            <v>Teller</v>
          </cell>
          <cell r="J231">
            <v>41714</v>
          </cell>
        </row>
        <row r="232">
          <cell r="A232" t="str">
            <v>يوسف جمال عبدالرحمن احمد</v>
          </cell>
          <cell r="B232">
            <v>9171264</v>
          </cell>
          <cell r="C232">
            <v>173073</v>
          </cell>
          <cell r="D232">
            <v>28189</v>
          </cell>
          <cell r="E232">
            <v>44</v>
          </cell>
          <cell r="F232">
            <v>22190</v>
          </cell>
          <cell r="G232" t="str">
            <v>بورسعيد</v>
          </cell>
          <cell r="H232">
            <v>5</v>
          </cell>
          <cell r="I232" t="str">
            <v>Teller</v>
          </cell>
          <cell r="J232">
            <v>41264</v>
          </cell>
        </row>
        <row r="233">
          <cell r="A233" t="str">
            <v>يوسف محمد احمد داود درويش</v>
          </cell>
          <cell r="B233">
            <v>9171066</v>
          </cell>
          <cell r="C233">
            <v>173074</v>
          </cell>
          <cell r="D233">
            <v>28100</v>
          </cell>
          <cell r="E233">
            <v>44</v>
          </cell>
          <cell r="F233">
            <v>22320</v>
          </cell>
          <cell r="G233" t="str">
            <v>الاسماعيلية</v>
          </cell>
          <cell r="H233">
            <v>5</v>
          </cell>
          <cell r="I233" t="str">
            <v>Teller</v>
          </cell>
          <cell r="J233">
            <v>41066</v>
          </cell>
        </row>
        <row r="234">
          <cell r="A234" t="str">
            <v>ابراهيم محمود عبدالمجيد محمود</v>
          </cell>
          <cell r="B234">
            <v>9161580</v>
          </cell>
          <cell r="C234">
            <v>174001</v>
          </cell>
          <cell r="D234">
            <v>24339</v>
          </cell>
          <cell r="E234">
            <v>54</v>
          </cell>
          <cell r="F234">
            <v>27140</v>
          </cell>
          <cell r="G234" t="str">
            <v>الوادى الجديد</v>
          </cell>
          <cell r="H234">
            <v>3</v>
          </cell>
          <cell r="I234" t="str">
            <v>Branch manager</v>
          </cell>
          <cell r="J234">
            <v>41580</v>
          </cell>
        </row>
        <row r="235">
          <cell r="A235" t="str">
            <v>احمد ابراهيم عبدالنبى احمد</v>
          </cell>
          <cell r="B235">
            <v>9161575</v>
          </cell>
          <cell r="C235">
            <v>174002</v>
          </cell>
          <cell r="D235">
            <v>30634</v>
          </cell>
          <cell r="E235">
            <v>37</v>
          </cell>
          <cell r="F235">
            <v>18710</v>
          </cell>
          <cell r="G235" t="str">
            <v>بنى سويف</v>
          </cell>
          <cell r="H235">
            <v>8</v>
          </cell>
          <cell r="I235" t="str">
            <v>CS</v>
          </cell>
          <cell r="J235">
            <v>41575</v>
          </cell>
        </row>
        <row r="236">
          <cell r="A236" t="str">
            <v>احمد خالد رجب بيومى</v>
          </cell>
          <cell r="B236">
            <v>9161535</v>
          </cell>
          <cell r="C236">
            <v>174003</v>
          </cell>
          <cell r="D236">
            <v>30462</v>
          </cell>
          <cell r="E236">
            <v>37</v>
          </cell>
          <cell r="F236">
            <v>18670</v>
          </cell>
          <cell r="G236" t="str">
            <v>الادارة</v>
          </cell>
          <cell r="H236">
            <v>7</v>
          </cell>
          <cell r="I236" t="str">
            <v>Call Center</v>
          </cell>
          <cell r="J236">
            <v>41535</v>
          </cell>
        </row>
        <row r="237">
          <cell r="A237" t="str">
            <v>احمد سلامه حامد سليم مصطفى</v>
          </cell>
          <cell r="B237">
            <v>9161510</v>
          </cell>
          <cell r="C237">
            <v>174004</v>
          </cell>
          <cell r="D237">
            <v>30300</v>
          </cell>
          <cell r="E237">
            <v>38</v>
          </cell>
          <cell r="F237">
            <v>19140</v>
          </cell>
          <cell r="G237" t="str">
            <v>سوهاج</v>
          </cell>
          <cell r="H237">
            <v>7</v>
          </cell>
          <cell r="I237" t="str">
            <v>Teller</v>
          </cell>
          <cell r="J237">
            <v>41510</v>
          </cell>
        </row>
        <row r="238">
          <cell r="A238" t="str">
            <v>احمد صلاح عبدالمحسن محمد</v>
          </cell>
          <cell r="B238">
            <v>9161494</v>
          </cell>
          <cell r="C238">
            <v>174005</v>
          </cell>
          <cell r="D238">
            <v>30144</v>
          </cell>
          <cell r="E238">
            <v>38</v>
          </cell>
          <cell r="F238">
            <v>19350</v>
          </cell>
          <cell r="G238" t="str">
            <v>بنى عبيد</v>
          </cell>
          <cell r="H238">
            <v>7</v>
          </cell>
          <cell r="I238" t="str">
            <v>Teller</v>
          </cell>
          <cell r="J238">
            <v>41494</v>
          </cell>
        </row>
        <row r="239">
          <cell r="A239" t="str">
            <v>احمد عصام الدين سيد ضاحى احمد</v>
          </cell>
          <cell r="B239">
            <v>9161465</v>
          </cell>
          <cell r="C239">
            <v>174006</v>
          </cell>
          <cell r="D239">
            <v>29982</v>
          </cell>
          <cell r="E239">
            <v>39</v>
          </cell>
          <cell r="F239">
            <v>19840</v>
          </cell>
          <cell r="G239" t="str">
            <v>قنا</v>
          </cell>
          <cell r="H239">
            <v>7</v>
          </cell>
          <cell r="I239" t="str">
            <v>Teller</v>
          </cell>
          <cell r="J239">
            <v>41465</v>
          </cell>
        </row>
        <row r="240">
          <cell r="A240" t="str">
            <v>احمد ماهر عبدالسلام نبيه عبدالسلام</v>
          </cell>
          <cell r="B240">
            <v>9161448</v>
          </cell>
          <cell r="C240">
            <v>174007</v>
          </cell>
          <cell r="D240">
            <v>29829</v>
          </cell>
          <cell r="E240">
            <v>39</v>
          </cell>
          <cell r="F240">
            <v>20090</v>
          </cell>
          <cell r="G240" t="str">
            <v>المنوفية</v>
          </cell>
          <cell r="H240">
            <v>7</v>
          </cell>
          <cell r="I240" t="str">
            <v>Treasury</v>
          </cell>
          <cell r="J240">
            <v>41448</v>
          </cell>
        </row>
        <row r="241">
          <cell r="A241" t="str">
            <v>احمد محمد سليمان حامد</v>
          </cell>
          <cell r="B241">
            <v>9161423</v>
          </cell>
          <cell r="C241">
            <v>174008</v>
          </cell>
          <cell r="D241">
            <v>29672</v>
          </cell>
          <cell r="E241">
            <v>39</v>
          </cell>
          <cell r="F241">
            <v>19750</v>
          </cell>
          <cell r="G241" t="str">
            <v>البحيرة</v>
          </cell>
          <cell r="H241">
            <v>6</v>
          </cell>
          <cell r="I241" t="str">
            <v>Teller</v>
          </cell>
          <cell r="J241">
            <v>41423</v>
          </cell>
        </row>
        <row r="242">
          <cell r="A242" t="str">
            <v>اسامه نبيه عبداللطيف سالم</v>
          </cell>
          <cell r="B242">
            <v>9161372</v>
          </cell>
          <cell r="C242">
            <v>174009</v>
          </cell>
          <cell r="D242">
            <v>29505</v>
          </cell>
          <cell r="E242">
            <v>40</v>
          </cell>
          <cell r="F242">
            <v>20320</v>
          </cell>
          <cell r="G242" t="str">
            <v>الغربية</v>
          </cell>
          <cell r="H242">
            <v>6</v>
          </cell>
          <cell r="I242" t="str">
            <v>Teller</v>
          </cell>
          <cell r="J242">
            <v>41372</v>
          </cell>
        </row>
        <row r="243">
          <cell r="A243" t="str">
            <v>اسراء اشرف يونس محمد</v>
          </cell>
          <cell r="B243">
            <v>9161369</v>
          </cell>
          <cell r="C243">
            <v>174010</v>
          </cell>
          <cell r="D243">
            <v>29363</v>
          </cell>
          <cell r="E243">
            <v>40</v>
          </cell>
          <cell r="F243">
            <v>20250</v>
          </cell>
          <cell r="G243" t="str">
            <v>طنطا</v>
          </cell>
          <cell r="H243">
            <v>6</v>
          </cell>
          <cell r="I243" t="str">
            <v>Teller</v>
          </cell>
          <cell r="J243">
            <v>41369</v>
          </cell>
        </row>
        <row r="244">
          <cell r="A244" t="str">
            <v>اسراء ممدوح عبدالحميد على عمر</v>
          </cell>
          <cell r="B244">
            <v>9161357</v>
          </cell>
          <cell r="C244">
            <v>174011</v>
          </cell>
          <cell r="D244">
            <v>29217</v>
          </cell>
          <cell r="E244">
            <v>41</v>
          </cell>
          <cell r="F244">
            <v>20950</v>
          </cell>
          <cell r="G244" t="str">
            <v>دمياط</v>
          </cell>
          <cell r="H244">
            <v>6</v>
          </cell>
          <cell r="I244" t="str">
            <v>Teller</v>
          </cell>
          <cell r="J244">
            <v>41357</v>
          </cell>
        </row>
        <row r="245">
          <cell r="A245" t="str">
            <v>امنيه زكريا محيى الدين محمد</v>
          </cell>
          <cell r="B245">
            <v>9161286</v>
          </cell>
          <cell r="C245">
            <v>174012</v>
          </cell>
          <cell r="D245">
            <v>29045</v>
          </cell>
          <cell r="E245">
            <v>41</v>
          </cell>
          <cell r="F245">
            <v>20910</v>
          </cell>
          <cell r="G245" t="str">
            <v>كفر الشيخ</v>
          </cell>
          <cell r="H245">
            <v>6</v>
          </cell>
          <cell r="I245" t="str">
            <v>Teller</v>
          </cell>
          <cell r="J245">
            <v>41286</v>
          </cell>
        </row>
        <row r="246">
          <cell r="A246" t="str">
            <v>ايمان السيد ابراهيم على</v>
          </cell>
          <cell r="B246">
            <v>9100485</v>
          </cell>
          <cell r="C246">
            <v>174013</v>
          </cell>
          <cell r="D246">
            <v>24250</v>
          </cell>
          <cell r="E246">
            <v>54</v>
          </cell>
          <cell r="F246">
            <v>27230</v>
          </cell>
          <cell r="G246" t="str">
            <v>المنيا</v>
          </cell>
          <cell r="H246">
            <v>3</v>
          </cell>
          <cell r="I246" t="str">
            <v>Branch manager</v>
          </cell>
          <cell r="J246">
            <v>40485</v>
          </cell>
        </row>
        <row r="247">
          <cell r="A247" t="str">
            <v>ايهاب ربيع امين الشريف</v>
          </cell>
          <cell r="B247">
            <v>9161243</v>
          </cell>
          <cell r="C247">
            <v>174014</v>
          </cell>
          <cell r="D247">
            <v>28752</v>
          </cell>
          <cell r="E247">
            <v>42</v>
          </cell>
          <cell r="F247">
            <v>21210</v>
          </cell>
          <cell r="G247" t="str">
            <v>العين السخنة</v>
          </cell>
          <cell r="H247">
            <v>6</v>
          </cell>
          <cell r="I247" t="str">
            <v>Teller</v>
          </cell>
          <cell r="J247">
            <v>41243</v>
          </cell>
        </row>
        <row r="248">
          <cell r="A248" t="str">
            <v>باسل مصطفى كامل سيد احمد</v>
          </cell>
          <cell r="B248">
            <v>9161239</v>
          </cell>
          <cell r="C248">
            <v>174015</v>
          </cell>
          <cell r="D248">
            <v>28616</v>
          </cell>
          <cell r="E248">
            <v>42</v>
          </cell>
          <cell r="F248">
            <v>21570</v>
          </cell>
          <cell r="G248" t="str">
            <v>فايد</v>
          </cell>
          <cell r="H248">
            <v>5</v>
          </cell>
          <cell r="I248" t="str">
            <v>Treasury</v>
          </cell>
          <cell r="J248">
            <v>41239</v>
          </cell>
        </row>
        <row r="249">
          <cell r="A249" t="str">
            <v>حسن اسامه حسن خليفه</v>
          </cell>
          <cell r="B249">
            <v>9161172</v>
          </cell>
          <cell r="C249">
            <v>174016</v>
          </cell>
          <cell r="D249">
            <v>28452</v>
          </cell>
          <cell r="E249">
            <v>43</v>
          </cell>
          <cell r="F249">
            <v>21530</v>
          </cell>
          <cell r="G249" t="str">
            <v>العلمين</v>
          </cell>
          <cell r="H249">
            <v>5</v>
          </cell>
          <cell r="I249" t="str">
            <v>Teller</v>
          </cell>
          <cell r="J249">
            <v>41172</v>
          </cell>
        </row>
        <row r="250">
          <cell r="A250" t="str">
            <v>حسين يوسف حسين موسى</v>
          </cell>
          <cell r="B250">
            <v>9161158</v>
          </cell>
          <cell r="C250">
            <v>174017</v>
          </cell>
          <cell r="D250">
            <v>28313</v>
          </cell>
          <cell r="E250">
            <v>43</v>
          </cell>
          <cell r="F250">
            <v>21950</v>
          </cell>
          <cell r="G250" t="str">
            <v>الساحل الشمالى</v>
          </cell>
          <cell r="H250">
            <v>5</v>
          </cell>
          <cell r="I250" t="str">
            <v>Teller</v>
          </cell>
          <cell r="J250">
            <v>41158</v>
          </cell>
        </row>
        <row r="251">
          <cell r="A251" t="str">
            <v>حنين هشام عبدالسميع والى</v>
          </cell>
          <cell r="B251">
            <v>9161156</v>
          </cell>
          <cell r="C251">
            <v>174018</v>
          </cell>
          <cell r="D251">
            <v>28182</v>
          </cell>
          <cell r="E251">
            <v>44</v>
          </cell>
          <cell r="F251">
            <v>21820</v>
          </cell>
          <cell r="G251" t="str">
            <v>القرية الذكية</v>
          </cell>
          <cell r="H251">
            <v>5</v>
          </cell>
          <cell r="I251" t="str">
            <v>Teller</v>
          </cell>
          <cell r="J251">
            <v>41156</v>
          </cell>
        </row>
        <row r="252">
          <cell r="A252" t="str">
            <v>خالد صبرى ابراهيم البيومى</v>
          </cell>
          <cell r="B252">
            <v>9161147</v>
          </cell>
          <cell r="C252">
            <v>174019</v>
          </cell>
          <cell r="D252">
            <v>28049</v>
          </cell>
          <cell r="E252">
            <v>44</v>
          </cell>
          <cell r="F252">
            <v>22220</v>
          </cell>
          <cell r="G252" t="str">
            <v>المهندسين</v>
          </cell>
          <cell r="H252">
            <v>5</v>
          </cell>
          <cell r="I252" t="str">
            <v>Treasury</v>
          </cell>
          <cell r="J252">
            <v>41147</v>
          </cell>
        </row>
        <row r="253">
          <cell r="A253" t="str">
            <v>داليا محمد عبداللطيف أحمد عيسى</v>
          </cell>
          <cell r="B253">
            <v>9161134</v>
          </cell>
          <cell r="C253">
            <v>174020</v>
          </cell>
          <cell r="D253">
            <v>27915</v>
          </cell>
          <cell r="E253">
            <v>44</v>
          </cell>
          <cell r="F253">
            <v>22560</v>
          </cell>
          <cell r="G253" t="str">
            <v>المنصورة</v>
          </cell>
          <cell r="H253">
            <v>5</v>
          </cell>
          <cell r="I253" t="str">
            <v>Treasury</v>
          </cell>
          <cell r="J253">
            <v>41134</v>
          </cell>
        </row>
        <row r="254">
          <cell r="A254" t="str">
            <v>رامى محمد سعيد سيد موسي</v>
          </cell>
          <cell r="B254">
            <v>9161120</v>
          </cell>
          <cell r="C254">
            <v>174021</v>
          </cell>
          <cell r="D254">
            <v>27781</v>
          </cell>
          <cell r="E254">
            <v>45</v>
          </cell>
          <cell r="F254">
            <v>22450</v>
          </cell>
          <cell r="G254" t="str">
            <v>الشرقية</v>
          </cell>
          <cell r="H254">
            <v>5</v>
          </cell>
          <cell r="I254" t="str">
            <v>Teller</v>
          </cell>
          <cell r="J254">
            <v>41120</v>
          </cell>
        </row>
        <row r="255">
          <cell r="A255" t="str">
            <v>روبى جمال محمد غيطاس محمد</v>
          </cell>
          <cell r="B255">
            <v>9161116</v>
          </cell>
          <cell r="C255">
            <v>174022</v>
          </cell>
          <cell r="D255">
            <v>28692</v>
          </cell>
          <cell r="E255">
            <v>42</v>
          </cell>
          <cell r="F255">
            <v>21170</v>
          </cell>
          <cell r="G255" t="str">
            <v>الفيوم</v>
          </cell>
          <cell r="H255">
            <v>5</v>
          </cell>
          <cell r="I255" t="str">
            <v>Teller</v>
          </cell>
          <cell r="J255">
            <v>41116</v>
          </cell>
        </row>
        <row r="256">
          <cell r="A256" t="str">
            <v>رياض عادل رياض سيد احمد</v>
          </cell>
          <cell r="B256">
            <v>9161090</v>
          </cell>
          <cell r="C256">
            <v>174023</v>
          </cell>
          <cell r="D256">
            <v>28546</v>
          </cell>
          <cell r="E256">
            <v>43</v>
          </cell>
          <cell r="F256">
            <v>21340</v>
          </cell>
          <cell r="G256" t="str">
            <v>القاهرة الجديدة</v>
          </cell>
          <cell r="H256">
            <v>5</v>
          </cell>
          <cell r="I256" t="str">
            <v>Teller</v>
          </cell>
          <cell r="J256">
            <v>41090</v>
          </cell>
        </row>
        <row r="257">
          <cell r="A257" t="str">
            <v>ريم اشرف صلاح الدين محمد عثمان</v>
          </cell>
          <cell r="B257">
            <v>9161088</v>
          </cell>
          <cell r="C257">
            <v>174024</v>
          </cell>
          <cell r="D257">
            <v>28413</v>
          </cell>
          <cell r="E257">
            <v>43</v>
          </cell>
          <cell r="F257">
            <v>21740</v>
          </cell>
          <cell r="G257" t="str">
            <v>الغردقة</v>
          </cell>
          <cell r="H257">
            <v>5</v>
          </cell>
          <cell r="I257" t="str">
            <v>Teller</v>
          </cell>
          <cell r="J257">
            <v>41088</v>
          </cell>
        </row>
        <row r="258">
          <cell r="A258" t="str">
            <v>ريهام حمدى محمد حسين</v>
          </cell>
          <cell r="B258">
            <v>9161081</v>
          </cell>
          <cell r="C258">
            <v>174025</v>
          </cell>
          <cell r="D258">
            <v>28278</v>
          </cell>
          <cell r="E258">
            <v>43</v>
          </cell>
          <cell r="F258">
            <v>22100</v>
          </cell>
          <cell r="G258" t="str">
            <v>السويس</v>
          </cell>
          <cell r="H258">
            <v>5</v>
          </cell>
          <cell r="I258" t="str">
            <v>Teller</v>
          </cell>
          <cell r="J258">
            <v>41081</v>
          </cell>
        </row>
        <row r="259">
          <cell r="A259" t="str">
            <v>زينب ربيع عبدالتواب عبدالمولى بكير</v>
          </cell>
          <cell r="B259">
            <v>9161071</v>
          </cell>
          <cell r="C259">
            <v>174026</v>
          </cell>
          <cell r="D259">
            <v>28143</v>
          </cell>
          <cell r="E259">
            <v>44</v>
          </cell>
          <cell r="F259">
            <v>22030</v>
          </cell>
          <cell r="G259" t="str">
            <v>المعادى</v>
          </cell>
          <cell r="H259">
            <v>5</v>
          </cell>
          <cell r="I259" t="str">
            <v>Teller</v>
          </cell>
          <cell r="J259">
            <v>41071</v>
          </cell>
        </row>
        <row r="260">
          <cell r="A260" t="str">
            <v>ساره احمد عبدالتواب عبدالله</v>
          </cell>
          <cell r="B260">
            <v>9161065</v>
          </cell>
          <cell r="C260">
            <v>174027</v>
          </cell>
          <cell r="D260">
            <v>28011</v>
          </cell>
          <cell r="E260">
            <v>44</v>
          </cell>
          <cell r="F260">
            <v>22430</v>
          </cell>
          <cell r="G260" t="str">
            <v>الجيزة</v>
          </cell>
          <cell r="H260">
            <v>5</v>
          </cell>
          <cell r="I260" t="str">
            <v>Teller</v>
          </cell>
          <cell r="J260">
            <v>41065</v>
          </cell>
        </row>
        <row r="261">
          <cell r="A261" t="str">
            <v>ساره ماهر حسن عبدالحميد عبدالرحيم</v>
          </cell>
          <cell r="B261">
            <v>9161057</v>
          </cell>
          <cell r="C261">
            <v>174028</v>
          </cell>
          <cell r="D261">
            <v>27879</v>
          </cell>
          <cell r="E261">
            <v>44</v>
          </cell>
          <cell r="F261">
            <v>22730</v>
          </cell>
          <cell r="G261" t="str">
            <v>المنيل</v>
          </cell>
          <cell r="H261">
            <v>4</v>
          </cell>
          <cell r="I261" t="str">
            <v>Treasury</v>
          </cell>
          <cell r="J261">
            <v>41057</v>
          </cell>
        </row>
        <row r="262">
          <cell r="A262" t="str">
            <v>سمير حسنى محمد عيسى</v>
          </cell>
          <cell r="B262">
            <v>9161024</v>
          </cell>
          <cell r="C262">
            <v>174029</v>
          </cell>
          <cell r="D262">
            <v>27738</v>
          </cell>
          <cell r="E262">
            <v>45</v>
          </cell>
          <cell r="F262">
            <v>22740</v>
          </cell>
          <cell r="G262" t="str">
            <v>اكتوبر</v>
          </cell>
          <cell r="H262">
            <v>4</v>
          </cell>
          <cell r="I262" t="str">
            <v>Teller</v>
          </cell>
          <cell r="J262">
            <v>41024</v>
          </cell>
        </row>
        <row r="263">
          <cell r="A263" t="str">
            <v>سيد قطب سيد قطب مسعود</v>
          </cell>
          <cell r="B263">
            <v>9161019</v>
          </cell>
          <cell r="C263">
            <v>174030</v>
          </cell>
          <cell r="D263">
            <v>30357</v>
          </cell>
          <cell r="E263">
            <v>38</v>
          </cell>
          <cell r="F263">
            <v>19140</v>
          </cell>
          <cell r="G263" t="str">
            <v>شبرا</v>
          </cell>
          <cell r="H263">
            <v>7</v>
          </cell>
          <cell r="I263" t="str">
            <v>Teller</v>
          </cell>
          <cell r="J263">
            <v>41019</v>
          </cell>
        </row>
        <row r="264">
          <cell r="A264" t="str">
            <v>شهاب علاء الدين عبدالمنعم عبداللطيف</v>
          </cell>
          <cell r="B264">
            <v>9160994</v>
          </cell>
          <cell r="C264">
            <v>174031</v>
          </cell>
          <cell r="D264">
            <v>30195</v>
          </cell>
          <cell r="E264">
            <v>38</v>
          </cell>
          <cell r="F264">
            <v>19570</v>
          </cell>
          <cell r="G264" t="str">
            <v>فيصل</v>
          </cell>
          <cell r="H264">
            <v>7</v>
          </cell>
          <cell r="I264" t="str">
            <v>CS</v>
          </cell>
          <cell r="J264">
            <v>40994</v>
          </cell>
        </row>
        <row r="265">
          <cell r="A265" t="str">
            <v>عائشه موسى فوده موسى</v>
          </cell>
          <cell r="B265">
            <v>9150710</v>
          </cell>
          <cell r="C265">
            <v>174032</v>
          </cell>
          <cell r="D265">
            <v>24980</v>
          </cell>
          <cell r="E265">
            <v>52</v>
          </cell>
          <cell r="F265">
            <v>26250</v>
          </cell>
          <cell r="G265" t="str">
            <v>قنا</v>
          </cell>
          <cell r="H265">
            <v>3</v>
          </cell>
          <cell r="I265" t="str">
            <v>Branch manager</v>
          </cell>
          <cell r="J265">
            <v>40710</v>
          </cell>
        </row>
        <row r="266">
          <cell r="A266" t="str">
            <v>عبدالرحمن سيد احمد كاسب</v>
          </cell>
          <cell r="B266">
            <v>9160936</v>
          </cell>
          <cell r="C266">
            <v>174033</v>
          </cell>
          <cell r="D266">
            <v>26042</v>
          </cell>
          <cell r="E266">
            <v>49</v>
          </cell>
          <cell r="F266">
            <v>19820</v>
          </cell>
          <cell r="G266" t="str">
            <v>الادارة</v>
          </cell>
          <cell r="H266">
            <v>2</v>
          </cell>
          <cell r="I266" t="str">
            <v>Operation</v>
          </cell>
          <cell r="J266">
            <v>40936</v>
          </cell>
        </row>
        <row r="267">
          <cell r="A267" t="str">
            <v>عبدالرحمن محمد محمود سليمان</v>
          </cell>
          <cell r="B267">
            <v>9160900</v>
          </cell>
          <cell r="C267">
            <v>174034</v>
          </cell>
          <cell r="D267">
            <v>29707</v>
          </cell>
          <cell r="E267">
            <v>39</v>
          </cell>
          <cell r="F267">
            <v>20170</v>
          </cell>
          <cell r="G267" t="str">
            <v>الادارة</v>
          </cell>
          <cell r="H267">
            <v>6</v>
          </cell>
          <cell r="I267" t="str">
            <v>Call Center</v>
          </cell>
          <cell r="J267">
            <v>40900</v>
          </cell>
        </row>
        <row r="268">
          <cell r="A268" t="str">
            <v>عبدالرحمن هاشم احمد حسين الفرلي</v>
          </cell>
          <cell r="B268">
            <v>9150773</v>
          </cell>
          <cell r="C268">
            <v>174035</v>
          </cell>
          <cell r="D268">
            <v>24647</v>
          </cell>
          <cell r="E268">
            <v>53</v>
          </cell>
          <cell r="F268">
            <v>26660</v>
          </cell>
          <cell r="G268" t="str">
            <v>الاسكندرية</v>
          </cell>
          <cell r="H268">
            <v>3</v>
          </cell>
          <cell r="I268" t="str">
            <v>Branch manager</v>
          </cell>
          <cell r="J268">
            <v>40773</v>
          </cell>
        </row>
        <row r="269">
          <cell r="A269" t="str">
            <v>عبدالغفار اسماعيل عبدالرازق اسماعيل</v>
          </cell>
          <cell r="B269">
            <v>9120835</v>
          </cell>
          <cell r="C269">
            <v>174036</v>
          </cell>
          <cell r="D269">
            <v>26043</v>
          </cell>
          <cell r="E269">
            <v>49</v>
          </cell>
          <cell r="F269">
            <v>24840</v>
          </cell>
          <cell r="G269" t="str">
            <v>المنوفية</v>
          </cell>
          <cell r="H269">
            <v>4</v>
          </cell>
          <cell r="I269" t="str">
            <v>Branch manager</v>
          </cell>
          <cell r="J269">
            <v>40835</v>
          </cell>
        </row>
        <row r="270">
          <cell r="A270" t="str">
            <v>عبدالله مصطفى محمود عبداللة</v>
          </cell>
          <cell r="B270">
            <v>9160879</v>
          </cell>
          <cell r="C270">
            <v>174037</v>
          </cell>
          <cell r="D270">
            <v>29268</v>
          </cell>
          <cell r="E270">
            <v>41</v>
          </cell>
          <cell r="F270">
            <v>20500</v>
          </cell>
          <cell r="G270" t="str">
            <v>اسوان</v>
          </cell>
          <cell r="H270">
            <v>6</v>
          </cell>
          <cell r="I270" t="str">
            <v>Teller</v>
          </cell>
          <cell r="J270">
            <v>40879</v>
          </cell>
        </row>
        <row r="271">
          <cell r="A271" t="str">
            <v>عمار السيد ابراهيم ابراهيم</v>
          </cell>
          <cell r="B271">
            <v>9160830</v>
          </cell>
          <cell r="C271">
            <v>174038</v>
          </cell>
          <cell r="D271">
            <v>29105</v>
          </cell>
          <cell r="E271">
            <v>41</v>
          </cell>
          <cell r="F271">
            <v>20950</v>
          </cell>
          <cell r="G271" t="str">
            <v>شرم الشيخ</v>
          </cell>
          <cell r="H271">
            <v>6</v>
          </cell>
          <cell r="I271" t="str">
            <v>Teller</v>
          </cell>
          <cell r="J271">
            <v>40830</v>
          </cell>
        </row>
        <row r="272">
          <cell r="A272" t="str">
            <v>عمر سمير تونى محمد</v>
          </cell>
          <cell r="B272">
            <v>9160811</v>
          </cell>
          <cell r="C272">
            <v>174039</v>
          </cell>
          <cell r="D272">
            <v>28957</v>
          </cell>
          <cell r="E272">
            <v>41</v>
          </cell>
          <cell r="F272">
            <v>21000</v>
          </cell>
          <cell r="G272" t="str">
            <v>الدقهلية</v>
          </cell>
          <cell r="H272">
            <v>6</v>
          </cell>
          <cell r="I272" t="str">
            <v>Teller</v>
          </cell>
          <cell r="J272">
            <v>40811</v>
          </cell>
        </row>
        <row r="273">
          <cell r="A273" t="str">
            <v>عمر سمير جلال محمد</v>
          </cell>
          <cell r="B273">
            <v>9160810</v>
          </cell>
          <cell r="C273">
            <v>174040</v>
          </cell>
          <cell r="D273">
            <v>28819</v>
          </cell>
          <cell r="E273">
            <v>42</v>
          </cell>
          <cell r="F273">
            <v>20990</v>
          </cell>
          <cell r="G273" t="str">
            <v>مرسى مطروح</v>
          </cell>
          <cell r="H273">
            <v>6</v>
          </cell>
          <cell r="I273" t="str">
            <v>Teller</v>
          </cell>
          <cell r="J273">
            <v>40810</v>
          </cell>
        </row>
        <row r="274">
          <cell r="A274" t="str">
            <v>عمر محمد محمد عبدالكريم</v>
          </cell>
          <cell r="B274">
            <v>9160790</v>
          </cell>
          <cell r="C274">
            <v>174041</v>
          </cell>
          <cell r="D274">
            <v>28674</v>
          </cell>
          <cell r="E274">
            <v>42</v>
          </cell>
          <cell r="F274">
            <v>21530</v>
          </cell>
          <cell r="G274" t="str">
            <v>بورسعيد</v>
          </cell>
          <cell r="H274">
            <v>5</v>
          </cell>
          <cell r="I274" t="str">
            <v>Teller</v>
          </cell>
          <cell r="J274">
            <v>40790</v>
          </cell>
        </row>
        <row r="275">
          <cell r="A275" t="str">
            <v>عمر وجيه مصطفى عبدالحكيم</v>
          </cell>
          <cell r="B275">
            <v>9160779</v>
          </cell>
          <cell r="C275">
            <v>174042</v>
          </cell>
          <cell r="D275">
            <v>28534</v>
          </cell>
          <cell r="E275">
            <v>43</v>
          </cell>
          <cell r="F275">
            <v>21580</v>
          </cell>
          <cell r="G275" t="str">
            <v>الاسماعيلية</v>
          </cell>
          <cell r="H275">
            <v>5</v>
          </cell>
          <cell r="I275" t="str">
            <v>Teller</v>
          </cell>
          <cell r="J275">
            <v>40779</v>
          </cell>
        </row>
        <row r="276">
          <cell r="A276" t="str">
            <v>كريم عماد سيد ابراهيم</v>
          </cell>
          <cell r="B276">
            <v>9160701</v>
          </cell>
          <cell r="C276">
            <v>174043</v>
          </cell>
          <cell r="D276">
            <v>28364</v>
          </cell>
          <cell r="E276">
            <v>43</v>
          </cell>
          <cell r="F276">
            <v>21500</v>
          </cell>
          <cell r="G276" t="str">
            <v>الوادى الجديد</v>
          </cell>
          <cell r="H276">
            <v>5</v>
          </cell>
          <cell r="I276" t="str">
            <v>Teller</v>
          </cell>
          <cell r="J276">
            <v>40701</v>
          </cell>
        </row>
        <row r="277">
          <cell r="A277" t="str">
            <v>لؤى على عبدالمتجلى محمد علي</v>
          </cell>
          <cell r="B277">
            <v>9160681</v>
          </cell>
          <cell r="C277">
            <v>174044</v>
          </cell>
          <cell r="D277">
            <v>28223</v>
          </cell>
          <cell r="E277">
            <v>43</v>
          </cell>
          <cell r="F277">
            <v>22080</v>
          </cell>
          <cell r="G277" t="str">
            <v>بنى سويف</v>
          </cell>
          <cell r="H277">
            <v>5</v>
          </cell>
          <cell r="I277" t="str">
            <v>Teller</v>
          </cell>
          <cell r="J277">
            <v>40681</v>
          </cell>
        </row>
        <row r="278">
          <cell r="A278" t="str">
            <v>مؤمن حسن عطيه صالح</v>
          </cell>
          <cell r="B278">
            <v>9160216</v>
          </cell>
          <cell r="C278">
            <v>174045</v>
          </cell>
          <cell r="D278">
            <v>29958</v>
          </cell>
          <cell r="E278">
            <v>39</v>
          </cell>
          <cell r="F278">
            <v>19750</v>
          </cell>
          <cell r="G278" t="str">
            <v>الاقصر</v>
          </cell>
          <cell r="H278">
            <v>7</v>
          </cell>
          <cell r="I278" t="str">
            <v>Teller</v>
          </cell>
          <cell r="J278">
            <v>40216</v>
          </cell>
        </row>
        <row r="279">
          <cell r="A279" t="str">
            <v>ماجد مختار ابراهيم بطرس</v>
          </cell>
          <cell r="B279">
            <v>9121053</v>
          </cell>
          <cell r="C279">
            <v>174046</v>
          </cell>
          <cell r="D279">
            <v>26316</v>
          </cell>
          <cell r="E279">
            <v>49</v>
          </cell>
          <cell r="F279">
            <v>24530</v>
          </cell>
          <cell r="G279" t="str">
            <v>البحيرة</v>
          </cell>
          <cell r="H279">
            <v>4</v>
          </cell>
          <cell r="I279" t="str">
            <v>Branch manager</v>
          </cell>
          <cell r="J279">
            <v>41053</v>
          </cell>
        </row>
        <row r="280">
          <cell r="A280" t="str">
            <v>مارى نادر نصحى فهمى</v>
          </cell>
          <cell r="B280">
            <v>9160673</v>
          </cell>
          <cell r="C280">
            <v>174047</v>
          </cell>
          <cell r="D280">
            <v>29888</v>
          </cell>
          <cell r="E280">
            <v>39</v>
          </cell>
          <cell r="F280">
            <v>20030</v>
          </cell>
          <cell r="G280" t="str">
            <v>سوهاج</v>
          </cell>
          <cell r="H280">
            <v>7</v>
          </cell>
          <cell r="I280" t="str">
            <v>Teller</v>
          </cell>
          <cell r="J280">
            <v>40673</v>
          </cell>
        </row>
        <row r="281">
          <cell r="A281" t="str">
            <v>محمد جمال حسين مصطفى</v>
          </cell>
          <cell r="B281">
            <v>9151040</v>
          </cell>
          <cell r="C281">
            <v>174048</v>
          </cell>
          <cell r="D281">
            <v>25019</v>
          </cell>
          <cell r="E281">
            <v>52</v>
          </cell>
          <cell r="F281">
            <v>26610</v>
          </cell>
          <cell r="G281" t="str">
            <v>الغربية</v>
          </cell>
          <cell r="H281">
            <v>3</v>
          </cell>
          <cell r="I281" t="str">
            <v>Branch manager</v>
          </cell>
          <cell r="J281">
            <v>41040</v>
          </cell>
        </row>
        <row r="282">
          <cell r="A282" t="str">
            <v>محمد سيد حسن السيد</v>
          </cell>
          <cell r="B282">
            <v>9160570</v>
          </cell>
          <cell r="C282">
            <v>174049</v>
          </cell>
          <cell r="D282">
            <v>29546</v>
          </cell>
          <cell r="E282">
            <v>40</v>
          </cell>
          <cell r="F282">
            <v>20070</v>
          </cell>
          <cell r="G282" t="str">
            <v>بنى عبيد</v>
          </cell>
          <cell r="H282">
            <v>6</v>
          </cell>
          <cell r="I282" t="str">
            <v>Teller</v>
          </cell>
          <cell r="J282">
            <v>40570</v>
          </cell>
        </row>
        <row r="283">
          <cell r="A283" t="str">
            <v>محمد طلعت محمد السيد</v>
          </cell>
          <cell r="B283">
            <v>9160539</v>
          </cell>
          <cell r="C283">
            <v>174050</v>
          </cell>
          <cell r="D283">
            <v>29387</v>
          </cell>
          <cell r="E283">
            <v>40</v>
          </cell>
          <cell r="F283">
            <v>20340</v>
          </cell>
          <cell r="G283" t="str">
            <v>قنا</v>
          </cell>
          <cell r="H283">
            <v>6</v>
          </cell>
          <cell r="I283" t="str">
            <v>Treasury</v>
          </cell>
          <cell r="J283">
            <v>40539</v>
          </cell>
        </row>
        <row r="284">
          <cell r="A284" t="str">
            <v>محمد طه سيد محمد</v>
          </cell>
          <cell r="B284">
            <v>9160538</v>
          </cell>
          <cell r="C284">
            <v>174051</v>
          </cell>
          <cell r="D284">
            <v>30269</v>
          </cell>
          <cell r="E284">
            <v>38</v>
          </cell>
          <cell r="F284">
            <v>19210</v>
          </cell>
          <cell r="G284" t="str">
            <v>المنوفية</v>
          </cell>
          <cell r="H284">
            <v>7</v>
          </cell>
          <cell r="I284" t="str">
            <v>Call Center</v>
          </cell>
          <cell r="J284">
            <v>40538</v>
          </cell>
        </row>
        <row r="285">
          <cell r="A285" t="str">
            <v>محمد عبدالعزيز ابراهيم عبدالعزيز</v>
          </cell>
          <cell r="B285">
            <v>9160519</v>
          </cell>
          <cell r="C285">
            <v>174052</v>
          </cell>
          <cell r="D285">
            <v>29095</v>
          </cell>
          <cell r="E285">
            <v>41</v>
          </cell>
          <cell r="F285">
            <v>21150</v>
          </cell>
          <cell r="G285" t="str">
            <v>البحيرة</v>
          </cell>
          <cell r="H285">
            <v>6</v>
          </cell>
          <cell r="I285" t="str">
            <v>Treasury</v>
          </cell>
          <cell r="J285">
            <v>40519</v>
          </cell>
        </row>
        <row r="286">
          <cell r="A286" t="str">
            <v>محمد عبدالكريم حسين الشريف</v>
          </cell>
          <cell r="B286">
            <v>9160515</v>
          </cell>
          <cell r="C286">
            <v>174053</v>
          </cell>
          <cell r="D286">
            <v>28954</v>
          </cell>
          <cell r="E286">
            <v>41</v>
          </cell>
          <cell r="F286">
            <v>21060</v>
          </cell>
          <cell r="G286" t="str">
            <v>الغربية</v>
          </cell>
          <cell r="H286">
            <v>6</v>
          </cell>
          <cell r="I286" t="str">
            <v>Treasury</v>
          </cell>
          <cell r="J286">
            <v>40515</v>
          </cell>
        </row>
        <row r="287">
          <cell r="A287" t="str">
            <v>محمد عماد حنفى محمد محمود</v>
          </cell>
          <cell r="B287">
            <v>9160493</v>
          </cell>
          <cell r="C287">
            <v>174054</v>
          </cell>
          <cell r="D287">
            <v>28806</v>
          </cell>
          <cell r="E287">
            <v>42</v>
          </cell>
          <cell r="F287">
            <v>21250</v>
          </cell>
          <cell r="G287" t="str">
            <v>طنطا</v>
          </cell>
          <cell r="H287">
            <v>5</v>
          </cell>
          <cell r="I287" t="str">
            <v>Treasury</v>
          </cell>
          <cell r="J287">
            <v>40493</v>
          </cell>
        </row>
        <row r="288">
          <cell r="A288" t="str">
            <v>محمد مجدى خليل محمد القشوطى</v>
          </cell>
          <cell r="B288">
            <v>9160475</v>
          </cell>
          <cell r="C288">
            <v>174055</v>
          </cell>
          <cell r="D288">
            <v>28661</v>
          </cell>
          <cell r="E288">
            <v>42</v>
          </cell>
          <cell r="F288">
            <v>21240</v>
          </cell>
          <cell r="G288" t="str">
            <v>دمياط</v>
          </cell>
          <cell r="H288">
            <v>5</v>
          </cell>
          <cell r="I288" t="str">
            <v>Teller</v>
          </cell>
          <cell r="J288">
            <v>40475</v>
          </cell>
        </row>
        <row r="289">
          <cell r="A289" t="str">
            <v>محمود يسرى سيد عبدالله</v>
          </cell>
          <cell r="B289">
            <v>9160359</v>
          </cell>
          <cell r="C289">
            <v>174056</v>
          </cell>
          <cell r="D289">
            <v>28471</v>
          </cell>
          <cell r="E289">
            <v>43</v>
          </cell>
          <cell r="F289">
            <v>21700</v>
          </cell>
          <cell r="G289" t="str">
            <v>كفر الشيخ</v>
          </cell>
          <cell r="H289">
            <v>5</v>
          </cell>
          <cell r="I289" t="str">
            <v>Teller</v>
          </cell>
          <cell r="J289">
            <v>40359</v>
          </cell>
        </row>
        <row r="290">
          <cell r="A290" t="str">
            <v>مريم ابوالفتوح سعد شلبى</v>
          </cell>
          <cell r="B290">
            <v>9160341</v>
          </cell>
          <cell r="C290">
            <v>174057</v>
          </cell>
          <cell r="D290">
            <v>28329</v>
          </cell>
          <cell r="E290">
            <v>43</v>
          </cell>
          <cell r="F290">
            <v>21630</v>
          </cell>
          <cell r="G290" t="str">
            <v>المنيا</v>
          </cell>
          <cell r="H290">
            <v>5</v>
          </cell>
          <cell r="I290" t="str">
            <v>Teller</v>
          </cell>
          <cell r="J290">
            <v>40341</v>
          </cell>
        </row>
        <row r="291">
          <cell r="A291" t="str">
            <v>مى محمود محمد عبدالرحمن</v>
          </cell>
          <cell r="B291">
            <v>9160209</v>
          </cell>
          <cell r="C291">
            <v>174058</v>
          </cell>
          <cell r="D291">
            <v>28135</v>
          </cell>
          <cell r="E291">
            <v>44</v>
          </cell>
          <cell r="F291">
            <v>22190</v>
          </cell>
          <cell r="G291" t="str">
            <v>العين السخنة</v>
          </cell>
          <cell r="H291">
            <v>5</v>
          </cell>
          <cell r="I291" t="str">
            <v>Teller</v>
          </cell>
          <cell r="J291">
            <v>40209</v>
          </cell>
        </row>
        <row r="292">
          <cell r="A292" t="str">
            <v>ندا كرم محمد احمد حسن</v>
          </cell>
          <cell r="B292">
            <v>9100488</v>
          </cell>
          <cell r="C292">
            <v>174059</v>
          </cell>
          <cell r="D292">
            <v>24400</v>
          </cell>
          <cell r="E292">
            <v>54</v>
          </cell>
          <cell r="F292">
            <v>27140</v>
          </cell>
          <cell r="G292" t="str">
            <v>الادارة</v>
          </cell>
          <cell r="H292">
            <v>2</v>
          </cell>
          <cell r="I292" t="str">
            <v>District</v>
          </cell>
          <cell r="J292">
            <v>40488</v>
          </cell>
        </row>
        <row r="293">
          <cell r="A293" t="str">
            <v>نعمه على عابد حسن عبدالسلام</v>
          </cell>
          <cell r="B293">
            <v>9151407</v>
          </cell>
          <cell r="C293">
            <v>174060</v>
          </cell>
          <cell r="D293">
            <v>25703</v>
          </cell>
          <cell r="E293">
            <v>50</v>
          </cell>
          <cell r="F293">
            <v>25390</v>
          </cell>
          <cell r="G293" t="str">
            <v>طنطا</v>
          </cell>
          <cell r="H293">
            <v>3</v>
          </cell>
          <cell r="I293" t="str">
            <v>Branch manager</v>
          </cell>
          <cell r="J293">
            <v>41407</v>
          </cell>
        </row>
        <row r="294">
          <cell r="A294" t="str">
            <v xml:space="preserve">نورهان كمال محمود ابراهيم دراهم </v>
          </cell>
          <cell r="B294">
            <v>9121578</v>
          </cell>
          <cell r="C294">
            <v>174061</v>
          </cell>
          <cell r="D294">
            <v>26972</v>
          </cell>
          <cell r="E294">
            <v>47</v>
          </cell>
          <cell r="F294">
            <v>23910</v>
          </cell>
          <cell r="G294" t="str">
            <v>دمياط</v>
          </cell>
          <cell r="H294">
            <v>4</v>
          </cell>
          <cell r="I294" t="str">
            <v>Treasury</v>
          </cell>
          <cell r="J294">
            <v>41578</v>
          </cell>
        </row>
        <row r="295">
          <cell r="A295" t="str">
            <v>هاجر هيثم فتحى باهى</v>
          </cell>
          <cell r="B295">
            <v>9160133</v>
          </cell>
          <cell r="C295">
            <v>174062</v>
          </cell>
          <cell r="D295">
            <v>29333</v>
          </cell>
          <cell r="E295">
            <v>40</v>
          </cell>
          <cell r="F295">
            <v>20300</v>
          </cell>
          <cell r="G295" t="str">
            <v>العلمين</v>
          </cell>
          <cell r="H295">
            <v>6</v>
          </cell>
          <cell r="I295" t="str">
            <v>Teller</v>
          </cell>
          <cell r="J295">
            <v>40133</v>
          </cell>
        </row>
        <row r="296">
          <cell r="A296" t="str">
            <v>هادى ماهر عبدالسميع شومه</v>
          </cell>
          <cell r="B296">
            <v>9160130</v>
          </cell>
          <cell r="C296">
            <v>174063</v>
          </cell>
          <cell r="D296">
            <v>29189</v>
          </cell>
          <cell r="E296">
            <v>41</v>
          </cell>
          <cell r="F296">
            <v>20960</v>
          </cell>
          <cell r="G296" t="str">
            <v>الساحل الشمالى</v>
          </cell>
          <cell r="H296">
            <v>6</v>
          </cell>
          <cell r="I296" t="str">
            <v>Teller</v>
          </cell>
          <cell r="J296">
            <v>40130</v>
          </cell>
        </row>
        <row r="297">
          <cell r="A297" t="str">
            <v>وليد اشرف جمال الدين عبدالعظيم الشيمى</v>
          </cell>
          <cell r="B297">
            <v>9160091</v>
          </cell>
          <cell r="C297">
            <v>174064</v>
          </cell>
          <cell r="D297">
            <v>30045</v>
          </cell>
          <cell r="E297">
            <v>38</v>
          </cell>
          <cell r="F297">
            <v>19660</v>
          </cell>
          <cell r="G297" t="str">
            <v>القرية الذكية</v>
          </cell>
          <cell r="H297">
            <v>7</v>
          </cell>
          <cell r="I297" t="str">
            <v>Teller</v>
          </cell>
          <cell r="J297">
            <v>40091</v>
          </cell>
        </row>
        <row r="298">
          <cell r="A298" t="str">
            <v>وليد محمد السيد طه</v>
          </cell>
          <cell r="B298">
            <v>9160087</v>
          </cell>
          <cell r="C298">
            <v>174065</v>
          </cell>
          <cell r="D298">
            <v>28887</v>
          </cell>
          <cell r="E298">
            <v>42</v>
          </cell>
          <cell r="F298">
            <v>21320</v>
          </cell>
          <cell r="G298" t="str">
            <v>المهندسين</v>
          </cell>
          <cell r="H298">
            <v>6</v>
          </cell>
          <cell r="I298" t="str">
            <v>Teller</v>
          </cell>
          <cell r="J298">
            <v>40087</v>
          </cell>
        </row>
        <row r="299">
          <cell r="A299" t="str">
            <v>ياسمين احمد عبدالواحد متولى</v>
          </cell>
          <cell r="B299">
            <v>9160080</v>
          </cell>
          <cell r="C299">
            <v>174066</v>
          </cell>
          <cell r="D299">
            <v>28746</v>
          </cell>
          <cell r="E299">
            <v>42</v>
          </cell>
          <cell r="F299">
            <v>21330</v>
          </cell>
          <cell r="G299" t="str">
            <v>المنصورة</v>
          </cell>
          <cell r="H299">
            <v>6</v>
          </cell>
          <cell r="I299" t="str">
            <v>Teller</v>
          </cell>
          <cell r="J299">
            <v>40080</v>
          </cell>
        </row>
        <row r="300">
          <cell r="A300" t="str">
            <v>يحيى على محمد انور ابو سيف</v>
          </cell>
          <cell r="B300">
            <v>9160072</v>
          </cell>
          <cell r="C300">
            <v>174067</v>
          </cell>
          <cell r="D300">
            <v>28605</v>
          </cell>
          <cell r="E300">
            <v>42</v>
          </cell>
          <cell r="F300">
            <v>21240</v>
          </cell>
          <cell r="G300" t="str">
            <v>الشرقية</v>
          </cell>
          <cell r="H300">
            <v>5</v>
          </cell>
          <cell r="I300" t="str">
            <v>Teller</v>
          </cell>
          <cell r="J300">
            <v>40072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ct Match"/>
      <sheetName val="Exact Match (2)"/>
      <sheetName val="Approximate Match"/>
      <sheetName val="Vlookup Looks Right"/>
      <sheetName val="First Match"/>
      <sheetName val="#NA error"/>
      <sheetName val="Multiple Lookup Tables"/>
    </sheetNames>
    <sheetDataSet>
      <sheetData sheetId="0">
        <row r="5">
          <cell r="B5">
            <v>72</v>
          </cell>
        </row>
      </sheetData>
      <sheetData sheetId="1"/>
      <sheetData sheetId="2"/>
      <sheetData sheetId="3"/>
      <sheetData sheetId="4"/>
      <sheetData sheetId="5"/>
      <sheetData sheetId="6">
        <row r="6">
          <cell r="G6">
            <v>0</v>
          </cell>
          <cell r="H6">
            <v>0</v>
          </cell>
          <cell r="J6">
            <v>0</v>
          </cell>
          <cell r="K6">
            <v>100</v>
          </cell>
        </row>
        <row r="7">
          <cell r="G7">
            <v>2000</v>
          </cell>
          <cell r="H7">
            <v>400</v>
          </cell>
          <cell r="J7">
            <v>5000</v>
          </cell>
          <cell r="K7">
            <v>1000</v>
          </cell>
        </row>
        <row r="8">
          <cell r="G8">
            <v>4000</v>
          </cell>
          <cell r="H8">
            <v>600</v>
          </cell>
          <cell r="J8">
            <v>10000</v>
          </cell>
          <cell r="K8">
            <v>1500</v>
          </cell>
        </row>
        <row r="9">
          <cell r="G9">
            <v>6000</v>
          </cell>
          <cell r="H9">
            <v>700</v>
          </cell>
        </row>
        <row r="10">
          <cell r="G10">
            <v>8000</v>
          </cell>
          <cell r="H10">
            <v>900</v>
          </cell>
        </row>
        <row r="11">
          <cell r="G11">
            <v>10000</v>
          </cell>
          <cell r="H11">
            <v>1100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28D0B94-DF70-4061-BE46-8E38AC73FEBF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  <we:property name="claude.fileId" value="&quot;2d7f6665-1cc4-449f-99ed-3165b6dac1b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9917FFF-F6D7-4400-BD88-C0ABE23B97E6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2E05-93D1-43D6-9D9B-3D8CEE590DE8}">
  <sheetPr>
    <tabColor theme="5" tint="0.39997558519241921"/>
  </sheetPr>
  <dimension ref="B2:I23"/>
  <sheetViews>
    <sheetView zoomScale="85" zoomScaleNormal="85" workbookViewId="0">
      <selection activeCell="D26" sqref="D26"/>
    </sheetView>
  </sheetViews>
  <sheetFormatPr defaultRowHeight="14.4" x14ac:dyDescent="0.3"/>
  <cols>
    <col min="1" max="1" width="5.77734375" customWidth="1"/>
    <col min="2" max="2" width="60.6640625" bestFit="1" customWidth="1"/>
    <col min="3" max="3" width="35.88671875" bestFit="1" customWidth="1"/>
    <col min="4" max="4" width="38.44140625" customWidth="1"/>
    <col min="6" max="6" width="15.44140625" bestFit="1" customWidth="1"/>
    <col min="8" max="8" width="10.77734375" customWidth="1"/>
    <col min="9" max="9" width="9.6640625" bestFit="1" customWidth="1"/>
    <col min="11" max="11" width="15.88671875" bestFit="1" customWidth="1"/>
  </cols>
  <sheetData>
    <row r="2" spans="2:7" ht="18" x14ac:dyDescent="0.35">
      <c r="C2" s="38" t="s">
        <v>104</v>
      </c>
    </row>
    <row r="4" spans="2:7" ht="18" x14ac:dyDescent="0.35">
      <c r="C4" s="38" t="s">
        <v>105</v>
      </c>
    </row>
    <row r="8" spans="2:7" ht="18" x14ac:dyDescent="0.35">
      <c r="B8" s="39" t="s">
        <v>201</v>
      </c>
      <c r="C8" s="41" t="s">
        <v>108</v>
      </c>
      <c r="D8" s="72">
        <f ca="1">TODAY()</f>
        <v>46294</v>
      </c>
      <c r="F8" s="38" t="s">
        <v>113</v>
      </c>
    </row>
    <row r="9" spans="2:7" ht="18" x14ac:dyDescent="0.35">
      <c r="B9" s="39" t="s">
        <v>202</v>
      </c>
      <c r="C9" s="41" t="s">
        <v>109</v>
      </c>
      <c r="D9" s="40">
        <f ca="1">NOW()</f>
        <v>46294.124963773145</v>
      </c>
    </row>
    <row r="12" spans="2:7" ht="18" x14ac:dyDescent="0.35">
      <c r="B12" s="39" t="s">
        <v>118</v>
      </c>
      <c r="C12" s="41" t="s">
        <v>110</v>
      </c>
      <c r="D12" s="39">
        <f ca="1">DAY(D8)</f>
        <v>29</v>
      </c>
      <c r="F12" s="38" t="s">
        <v>106</v>
      </c>
      <c r="G12" s="71"/>
    </row>
    <row r="13" spans="2:7" ht="18" x14ac:dyDescent="0.35">
      <c r="B13" s="39" t="s">
        <v>119</v>
      </c>
      <c r="C13" s="41" t="s">
        <v>111</v>
      </c>
      <c r="D13" s="39">
        <f ca="1">MONTH(D8)</f>
        <v>9</v>
      </c>
    </row>
    <row r="14" spans="2:7" ht="18" x14ac:dyDescent="0.35">
      <c r="B14" s="39" t="s">
        <v>120</v>
      </c>
      <c r="C14" s="41" t="s">
        <v>112</v>
      </c>
      <c r="D14" s="39">
        <f ca="1">YEAR(D8)</f>
        <v>2026</v>
      </c>
    </row>
    <row r="17" spans="2:9" ht="18" x14ac:dyDescent="0.35">
      <c r="B17" s="39" t="s">
        <v>117</v>
      </c>
      <c r="C17" s="41" t="s">
        <v>114</v>
      </c>
      <c r="D17" s="39">
        <f>DATEDIF(H18,H17,"y")</f>
        <v>2</v>
      </c>
      <c r="F17" s="38" t="s">
        <v>107</v>
      </c>
      <c r="H17" s="42">
        <v>46376</v>
      </c>
      <c r="I17" s="43" t="s">
        <v>116</v>
      </c>
    </row>
    <row r="18" spans="2:9" ht="18" x14ac:dyDescent="0.35">
      <c r="B18" s="39" t="s">
        <v>121</v>
      </c>
      <c r="C18" s="41" t="s">
        <v>123</v>
      </c>
      <c r="D18" s="39">
        <f>NETWORKDAYS(H18,H17)</f>
        <v>715</v>
      </c>
      <c r="H18" s="42">
        <v>45375</v>
      </c>
      <c r="I18" s="43" t="s">
        <v>115</v>
      </c>
    </row>
    <row r="19" spans="2:9" ht="28.8" x14ac:dyDescent="0.3">
      <c r="B19" s="44" t="s">
        <v>122</v>
      </c>
      <c r="C19" s="45" t="s">
        <v>124</v>
      </c>
      <c r="D19" s="44">
        <f>NETWORKDAYS.INTL(H18,H17,1)</f>
        <v>715</v>
      </c>
    </row>
    <row r="22" spans="2:9" ht="18" x14ac:dyDescent="0.35">
      <c r="B22" s="39" t="s">
        <v>126</v>
      </c>
      <c r="C22" s="41" t="s">
        <v>128</v>
      </c>
      <c r="D22" s="39">
        <f ca="1">WEEKDAY(D8)</f>
        <v>3</v>
      </c>
      <c r="F22" s="38" t="s">
        <v>127</v>
      </c>
    </row>
    <row r="23" spans="2:9" ht="18" x14ac:dyDescent="0.35">
      <c r="B23" s="39" t="s">
        <v>125</v>
      </c>
      <c r="C23" s="41" t="s">
        <v>129</v>
      </c>
      <c r="D23" s="39">
        <f ca="1">WEEKNUM(D8)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0023-25B8-4267-BF2E-2B0CA99F4267}">
  <sheetPr>
    <tabColor theme="4" tint="0.39997558519241921"/>
  </sheetPr>
  <dimension ref="A1:R55"/>
  <sheetViews>
    <sheetView topLeftCell="A18" zoomScale="80" zoomScaleNormal="80" workbookViewId="0">
      <selection activeCell="D27" sqref="D27"/>
    </sheetView>
  </sheetViews>
  <sheetFormatPr defaultRowHeight="14.4" x14ac:dyDescent="0.3"/>
  <cols>
    <col min="1" max="1" width="3.33203125" customWidth="1"/>
    <col min="2" max="2" width="21.21875" bestFit="1" customWidth="1"/>
    <col min="3" max="3" width="13.44140625" customWidth="1"/>
    <col min="4" max="4" width="13.33203125" customWidth="1"/>
    <col min="5" max="5" width="26" bestFit="1" customWidth="1"/>
    <col min="6" max="6" width="12.6640625" bestFit="1" customWidth="1"/>
    <col min="7" max="7" width="23.33203125" bestFit="1" customWidth="1"/>
    <col min="8" max="8" width="17.44140625" customWidth="1"/>
    <col min="9" max="9" width="13" customWidth="1"/>
    <col min="10" max="10" width="11.21875" customWidth="1"/>
    <col min="11" max="11" width="17.21875" customWidth="1"/>
    <col min="12" max="12" width="14.5546875" customWidth="1"/>
    <col min="13" max="13" width="12.109375" bestFit="1" customWidth="1"/>
  </cols>
  <sheetData>
    <row r="1" spans="1:18" s="1" customFormat="1" ht="23.4" x14ac:dyDescent="0.3">
      <c r="A1" s="89" t="s">
        <v>203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</row>
    <row r="3" spans="1:18" ht="23.4" x14ac:dyDescent="0.3">
      <c r="B3" s="48" t="s">
        <v>133</v>
      </c>
      <c r="G3" s="49" t="s">
        <v>134</v>
      </c>
      <c r="K3" s="49" t="s">
        <v>86</v>
      </c>
    </row>
    <row r="26" spans="2:16" ht="15.6" x14ac:dyDescent="0.3">
      <c r="B26" s="27" t="s">
        <v>80</v>
      </c>
      <c r="C26" s="27" t="s">
        <v>81</v>
      </c>
      <c r="D26" s="27" t="s">
        <v>135</v>
      </c>
      <c r="E26" s="28" t="s">
        <v>82</v>
      </c>
      <c r="F26" s="28" t="s">
        <v>83</v>
      </c>
      <c r="G26" s="28" t="s">
        <v>84</v>
      </c>
      <c r="H26" s="28" t="s">
        <v>130</v>
      </c>
      <c r="I26" s="46" t="s">
        <v>85</v>
      </c>
      <c r="J26" s="46" t="s">
        <v>131</v>
      </c>
      <c r="K26" s="46" t="s">
        <v>132</v>
      </c>
      <c r="L26" s="46" t="s">
        <v>205</v>
      </c>
      <c r="M26" s="47" t="s">
        <v>86</v>
      </c>
      <c r="O26" s="87" t="s">
        <v>87</v>
      </c>
      <c r="P26" s="88"/>
    </row>
    <row r="27" spans="2:16" ht="18" x14ac:dyDescent="0.35">
      <c r="B27" s="29" t="s">
        <v>88</v>
      </c>
      <c r="C27" s="30">
        <v>60</v>
      </c>
      <c r="D27" s="30"/>
      <c r="E27" s="31" t="str">
        <f>IF(C27&gt;80, "Passed", "Failed")</f>
        <v>Failed</v>
      </c>
      <c r="F27" s="32" t="str" cm="1">
        <f t="array" ref="F27">_xlfn.IFS(C27&gt;=$O$27,"Excellent",C27&gt;=$O$28, "Very Good", C27&gt;=$O$29, "Good", C27&gt;=$O$30, "Passed", C27&lt;$O$30, "Failed")</f>
        <v>Passed</v>
      </c>
      <c r="G27" s="50" t="str" cm="1">
        <f t="array" ref="G27">IFERROR(_xlfn.IFS(C27&gt;=$O$27,"Excellent",C27&gt;=$O$28, "Very Good", C27&gt;=$O$29, "Good", C27&gt;=$O$30, "Passed", C27&lt;$O$30, "Failed"),"Error")</f>
        <v>Passed</v>
      </c>
      <c r="H27" s="32" t="str" cm="1">
        <f t="array" ref="H27">_xlfn.IFNA(_xlfn.IFS(C27&gt;=$O$27,"Excellent",C27&gt;=$O$28, "Very Good", C27&gt;=$O$29, "Good", C27&gt;=$O$30, "Passed", C27&lt;$O$30, "Failed"), _xleta.N/A)</f>
        <v>Passed</v>
      </c>
      <c r="I27" s="32" t="b">
        <f>AND(C27&gt;50, C28&gt;60)</f>
        <v>1</v>
      </c>
      <c r="J27" s="32" t="b">
        <f>OR(C27&gt;70, C28&gt;60)</f>
        <v>1</v>
      </c>
      <c r="K27" s="32" t="b">
        <f>NOT(J27)</f>
        <v>0</v>
      </c>
      <c r="L27" s="32" t="str">
        <f>IF(AND(C27&gt;50,C28&gt;40),"Good","Bad")</f>
        <v>Good</v>
      </c>
      <c r="M27" s="32" t="str" cm="1">
        <f t="array" ref="M27">IFERROR(_xlfn.SWITCH(C27,60,"Good",81,"Excellent",50,"Passed"),"Failed")</f>
        <v>Good</v>
      </c>
      <c r="O27" s="33">
        <v>90</v>
      </c>
      <c r="P27" s="33" t="s">
        <v>89</v>
      </c>
    </row>
    <row r="28" spans="2:16" ht="18" x14ac:dyDescent="0.35">
      <c r="B28" s="29" t="s">
        <v>38</v>
      </c>
      <c r="C28" s="29">
        <v>81</v>
      </c>
      <c r="D28" s="55"/>
      <c r="E28" s="31" t="str">
        <f t="shared" ref="E28:E38" si="0">IF(C28&gt;80, "Passed", "Failed")</f>
        <v>Passed</v>
      </c>
      <c r="F28" s="32" t="str" cm="1">
        <f t="array" ref="F28">_xlfn.IFS(C28&gt;=$O$27,"Excellent",C28&gt;=$O$28, "Very Good", C28&gt;=$O$29, "Good", C28&gt;=$O$30, "Passed", C28&lt;$O$30, "Failed")</f>
        <v>Very Good</v>
      </c>
      <c r="G28" s="50" t="str" cm="1">
        <f t="array" ref="G28">IFERROR(_xlfn.IFS(C28&gt;=$O$27,"Excellent",C28&gt;=$O$28, "Very Good", C28&gt;=$O$29, "Good", C28&gt;=$O$30, "Passed", C28&lt;$O$30, "Failed"),"Error")</f>
        <v>Very Good</v>
      </c>
      <c r="H28" s="32" t="str" cm="1">
        <f t="array" ref="H28">_xlfn.IFNA(_xlfn.IFS(C28&gt;=$O$27,"Excellent",C28&gt;=$O$28, "Very Good", C28&gt;=$O$29, "Good", C28&gt;=$O$30, "Passed", C28&lt;$O$30, "Failed"), _xleta.N/A)</f>
        <v>Very Good</v>
      </c>
      <c r="I28" s="32" t="b">
        <f>AND(C28&gt;50, C29&gt;60)</f>
        <v>0</v>
      </c>
      <c r="J28" s="32" t="b">
        <f t="shared" ref="J28:J38" si="1">OR(C28&gt;70, C29&gt;60)</f>
        <v>1</v>
      </c>
      <c r="K28" s="32" t="b">
        <f t="shared" ref="K28:K38" si="2">NOT(J28)</f>
        <v>0</v>
      </c>
      <c r="L28" s="32" t="str">
        <f t="shared" ref="L28:L38" si="3">IF(AND(C28&gt;50,C29&gt;40),"Good","Bad")</f>
        <v>Bad</v>
      </c>
      <c r="M28" s="32" t="str" cm="1">
        <f t="array" ref="M28">IFERROR(_xlfn.SWITCH(C28,60,"Good",81,"Excellent",50,"Passed"),"Failed")</f>
        <v>Excellent</v>
      </c>
      <c r="O28" s="33">
        <v>80</v>
      </c>
      <c r="P28" s="33" t="s">
        <v>90</v>
      </c>
    </row>
    <row r="29" spans="2:16" ht="18" x14ac:dyDescent="0.35">
      <c r="B29" s="29" t="s">
        <v>57</v>
      </c>
      <c r="C29" s="29">
        <v>34</v>
      </c>
      <c r="D29" s="30"/>
      <c r="E29" s="31" t="str">
        <f t="shared" si="0"/>
        <v>Failed</v>
      </c>
      <c r="F29" s="32" t="str" cm="1">
        <f t="array" ref="F29">_xlfn.IFS(C29&gt;=$O$27,"Excellent",C29&gt;=$O$28, "Very Good", C29&gt;=$O$29, "Good", C29&gt;=$O$30, "Passed", C29&lt;$O$30, "Failed")</f>
        <v>Failed</v>
      </c>
      <c r="G29" s="50" t="str" cm="1">
        <f t="array" ref="G29">IFERROR(_xlfn.IFS(C29&gt;=$O$27,"Excellent",C29&gt;=$O$28, "Very Good", C29&gt;=$O$29, "Good", C29&gt;=$O$30, "Passed", C29&lt;$O$30, "Failed"),"Error")</f>
        <v>Failed</v>
      </c>
      <c r="H29" s="32" t="str" cm="1">
        <f t="array" ref="H29">_xlfn.IFNA(_xlfn.IFS(C29&gt;=$O$27,"Excellent",C29&gt;=$O$28, "Very Good", C29&gt;=$O$29, "Good", C29&gt;=$O$30, "Passed", C29&lt;$O$30, "Failed"), _xleta.N/A)</f>
        <v>Failed</v>
      </c>
      <c r="I29" s="32" t="b">
        <f t="shared" ref="I29:I38" si="4">AND(C29&gt;50, C30&gt;60)</f>
        <v>0</v>
      </c>
      <c r="J29" s="32" t="b">
        <f t="shared" si="1"/>
        <v>1</v>
      </c>
      <c r="K29" s="32" t="b">
        <f t="shared" si="2"/>
        <v>0</v>
      </c>
      <c r="L29" s="32" t="str">
        <f t="shared" si="3"/>
        <v>Bad</v>
      </c>
      <c r="M29" s="32" t="str" cm="1">
        <f t="array" ref="M29">IFERROR(_xlfn.SWITCH(C29,60,"Good",81,"Excellent",50,"Passed"),"Failed")</f>
        <v>Failed</v>
      </c>
      <c r="O29" s="33">
        <v>70</v>
      </c>
      <c r="P29" s="33" t="s">
        <v>91</v>
      </c>
    </row>
    <row r="30" spans="2:16" ht="18" x14ac:dyDescent="0.35">
      <c r="B30" s="29" t="s">
        <v>58</v>
      </c>
      <c r="C30" s="29">
        <v>76</v>
      </c>
      <c r="D30" s="30"/>
      <c r="E30" s="31" t="str">
        <f t="shared" si="0"/>
        <v>Failed</v>
      </c>
      <c r="F30" s="32" t="str" cm="1">
        <f t="array" ref="F30">_xlfn.IFS(C30&gt;=$O$27,"Excellent",C30&gt;=$O$28, "Very Good", C30&gt;=$O$29, "Good", C30&gt;=$O$30, "Passed", C30&lt;$O$30, "Failed")</f>
        <v>Good</v>
      </c>
      <c r="G30" s="50" t="str" cm="1">
        <f t="array" ref="G30">IFERROR(_xlfn.IFS(C30&gt;=$O$27,"Excellent",C30&gt;=$O$28, "Very Good", C30&gt;=$O$29, "Good", C30&gt;=$O$30, "Passed", C30&lt;$O$30, "Failed"),"Error")</f>
        <v>Good</v>
      </c>
      <c r="H30" s="32" t="str" cm="1">
        <f t="array" ref="H30">_xlfn.IFNA(_xlfn.IFS(C30&gt;=$O$27,"Excellent",C30&gt;=$O$28, "Very Good", C30&gt;=$O$29, "Good", C30&gt;=$O$30, "Passed", C30&lt;$O$30, "Failed"), _xleta.N/A)</f>
        <v>Good</v>
      </c>
      <c r="I30" s="32" t="b">
        <f t="shared" si="4"/>
        <v>1</v>
      </c>
      <c r="J30" s="32" t="b">
        <f t="shared" si="1"/>
        <v>1</v>
      </c>
      <c r="K30" s="32" t="b">
        <f t="shared" si="2"/>
        <v>0</v>
      </c>
      <c r="L30" s="32" t="str">
        <f t="shared" si="3"/>
        <v>Good</v>
      </c>
      <c r="M30" s="32" t="str" cm="1">
        <f t="array" ref="M30">IFERROR(_xlfn.SWITCH(C30,60,"Good",81,"Excellent",50,"Passed"),"Failed")</f>
        <v>Failed</v>
      </c>
      <c r="O30" s="33">
        <v>60</v>
      </c>
      <c r="P30" s="33" t="s">
        <v>92</v>
      </c>
    </row>
    <row r="31" spans="2:16" ht="18" x14ac:dyDescent="0.35">
      <c r="B31" s="29" t="s">
        <v>59</v>
      </c>
      <c r="C31" s="29">
        <v>64</v>
      </c>
      <c r="D31" s="55"/>
      <c r="E31" s="31" t="str">
        <f t="shared" si="0"/>
        <v>Failed</v>
      </c>
      <c r="F31" s="32" t="str" cm="1">
        <f t="array" ref="F31">_xlfn.IFS(C31&gt;=$O$27,"Excellent",C31&gt;=$O$28, "Very Good", C31&gt;=$O$29, "Good", C31&gt;=$O$30, "Passed", C31&lt;$O$30, "Failed")</f>
        <v>Passed</v>
      </c>
      <c r="G31" s="50" t="str" cm="1">
        <f t="array" ref="G31">IFERROR(_xlfn.IFS(C31&gt;=$O$27,"Excellent",C31&gt;=$O$28, "Very Good", C31&gt;=$O$29, "Good", C31&gt;=$O$30, "Passed", C31&lt;$O$30, "Failed"),"Error")</f>
        <v>Passed</v>
      </c>
      <c r="H31" s="32" t="str" cm="1">
        <f t="array" ref="H31">_xlfn.IFNA(_xlfn.IFS(C31&gt;=$O$27,"Excellent",C31&gt;=$O$28, "Very Good", C31&gt;=$O$29, "Good", C31&gt;=$O$30, "Passed", C31&lt;$O$30, "Failed"), _xleta.N/A)</f>
        <v>Passed</v>
      </c>
      <c r="I31" s="32" t="b">
        <f t="shared" si="4"/>
        <v>1</v>
      </c>
      <c r="J31" s="32" t="b">
        <f t="shared" si="1"/>
        <v>1</v>
      </c>
      <c r="K31" s="32" t="b">
        <f t="shared" si="2"/>
        <v>0</v>
      </c>
      <c r="L31" s="32" t="str">
        <f t="shared" si="3"/>
        <v>Good</v>
      </c>
      <c r="M31" s="32" t="str" cm="1">
        <f t="array" ref="M31">IFERROR(_xlfn.SWITCH(C31,60,"Good",81,"Excellent",50,"Passed"),"Failed")</f>
        <v>Failed</v>
      </c>
      <c r="O31" s="33"/>
      <c r="P31" s="33" t="s">
        <v>93</v>
      </c>
    </row>
    <row r="32" spans="2:16" ht="18" x14ac:dyDescent="0.35">
      <c r="B32" s="29" t="s">
        <v>69</v>
      </c>
      <c r="C32" s="29">
        <v>95</v>
      </c>
      <c r="D32" s="30"/>
      <c r="E32" s="31" t="str">
        <f t="shared" si="0"/>
        <v>Passed</v>
      </c>
      <c r="F32" s="32" t="str" cm="1">
        <f t="array" ref="F32">_xlfn.IFS(C32&gt;=$O$27,"Excellent",C32&gt;=$O$28, "Very Good", C32&gt;=$O$29, "Good", C32&gt;=$O$30, "Passed", C32&lt;$O$30, "Failed")</f>
        <v>Excellent</v>
      </c>
      <c r="G32" s="50" t="str" cm="1">
        <f t="array" ref="G32">IFERROR(_xlfn.IFS(C32&gt;=$O$27,"Excellent",C32&gt;=$O$28, "Very Good", C32&gt;=$O$29, "Good", C32&gt;=$O$30, "Passed", C32&lt;$O$30, "Failed"),"Error")</f>
        <v>Excellent</v>
      </c>
      <c r="H32" s="32" t="str" cm="1">
        <f t="array" ref="H32">_xlfn.IFNA(_xlfn.IFS(C32&gt;=$O$27,"Excellent",C32&gt;=$O$28, "Very Good", C32&gt;=$O$29, "Good", C32&gt;=$O$30, "Passed", C32&lt;$O$30, "Failed"), _xleta.N/A)</f>
        <v>Excellent</v>
      </c>
      <c r="I32" s="32" t="b">
        <f t="shared" si="4"/>
        <v>0</v>
      </c>
      <c r="J32" s="32" t="b">
        <f t="shared" si="1"/>
        <v>1</v>
      </c>
      <c r="K32" s="32" t="b">
        <f t="shared" si="2"/>
        <v>0</v>
      </c>
      <c r="L32" s="32" t="str">
        <f t="shared" si="3"/>
        <v>Good</v>
      </c>
      <c r="M32" s="32" t="str" cm="1">
        <f t="array" ref="M32">IFERROR(_xlfn.SWITCH(C32,60,"Good",81,"Excellent",50,"Passed"),"Failed")</f>
        <v>Failed</v>
      </c>
      <c r="O32" s="34"/>
      <c r="P32" s="34"/>
    </row>
    <row r="33" spans="2:16" ht="18" x14ac:dyDescent="0.35">
      <c r="B33" s="29" t="s">
        <v>94</v>
      </c>
      <c r="C33" s="29">
        <v>50</v>
      </c>
      <c r="D33" s="55"/>
      <c r="E33" s="31" t="str">
        <f t="shared" si="0"/>
        <v>Failed</v>
      </c>
      <c r="F33" s="32" t="str" cm="1">
        <f t="array" ref="F33">_xlfn.IFS(C33&gt;=$O$27,"Excellent",C33&gt;=$O$28, "Very Good", C33&gt;=$O$29, "Good", C33&gt;=$O$30, "Passed", C33&lt;$O$30, "Failed")</f>
        <v>Failed</v>
      </c>
      <c r="G33" s="50" t="str" cm="1">
        <f t="array" ref="G33">IFERROR(_xlfn.IFS(C33&gt;=$O$27,"Excellent",C33&gt;=$O$28, "Very Good", C33&gt;=$O$29, "Good", C33&gt;=$O$30, "Passed", C33&lt;$O$30, "Failed"),"Error")</f>
        <v>Failed</v>
      </c>
      <c r="H33" s="32" t="str" cm="1">
        <f t="array" ref="H33">_xlfn.IFNA(_xlfn.IFS(C33&gt;=$O$27,"Excellent",C33&gt;=$O$28, "Very Good", C33&gt;=$O$29, "Good", C33&gt;=$O$30, "Passed", C33&lt;$O$30, "Failed"), _xleta.N/A)</f>
        <v>Failed</v>
      </c>
      <c r="I33" s="32" t="b">
        <f t="shared" si="4"/>
        <v>0</v>
      </c>
      <c r="J33" s="32" t="b">
        <f t="shared" si="1"/>
        <v>1</v>
      </c>
      <c r="K33" s="32" t="b">
        <f t="shared" si="2"/>
        <v>0</v>
      </c>
      <c r="L33" s="32" t="str">
        <f t="shared" si="3"/>
        <v>Bad</v>
      </c>
      <c r="M33" s="32" t="str" cm="1">
        <f t="array" ref="M33">IFERROR(_xlfn.SWITCH(C33,60,"Good",81,"Excellent",50,"Passed"),"Failed")</f>
        <v>Passed</v>
      </c>
      <c r="O33" s="35" t="s">
        <v>95</v>
      </c>
      <c r="P33" s="36">
        <v>0.12</v>
      </c>
    </row>
    <row r="34" spans="2:16" ht="18" x14ac:dyDescent="0.35">
      <c r="B34" s="29" t="s">
        <v>96</v>
      </c>
      <c r="C34" s="29">
        <v>87</v>
      </c>
      <c r="D34" s="30"/>
      <c r="E34" s="31" t="str">
        <f t="shared" si="0"/>
        <v>Passed</v>
      </c>
      <c r="F34" s="32" t="str" cm="1">
        <f t="array" ref="F34">_xlfn.IFS(C34&gt;=$O$27,"Excellent",C34&gt;=$O$28, "Very Good", C34&gt;=$O$29, "Good", C34&gt;=$O$30, "Passed", C34&lt;$O$30, "Failed")</f>
        <v>Very Good</v>
      </c>
      <c r="G34" s="50" t="str" cm="1">
        <f t="array" ref="G34">IFERROR(_xlfn.IFS(C34&gt;=$O$27,"Excellent",C34&gt;=$O$28, "Very Good", C34&gt;=$O$29, "Good", C34&gt;=$O$30, "Passed", C34&lt;$O$30, "Failed"),"Error")</f>
        <v>Very Good</v>
      </c>
      <c r="H34" s="32" t="str" cm="1">
        <f t="array" ref="H34">_xlfn.IFNA(_xlfn.IFS(C34&gt;=$O$27,"Excellent",C34&gt;=$O$28, "Very Good", C34&gt;=$O$29, "Good", C34&gt;=$O$30, "Passed", C34&lt;$O$30, "Failed"), _xleta.N/A)</f>
        <v>Very Good</v>
      </c>
      <c r="I34" s="32" t="b">
        <f t="shared" si="4"/>
        <v>0</v>
      </c>
      <c r="J34" s="32" t="b">
        <f t="shared" si="1"/>
        <v>1</v>
      </c>
      <c r="K34" s="32" t="b">
        <f t="shared" si="2"/>
        <v>0</v>
      </c>
      <c r="L34" s="32" t="str">
        <f t="shared" si="3"/>
        <v>Bad</v>
      </c>
      <c r="M34" s="32" t="str" cm="1">
        <f t="array" ref="M34">IFERROR(_xlfn.SWITCH(C34,60,"Good",81,"Excellent",50,"Passed"),"Failed")</f>
        <v>Failed</v>
      </c>
      <c r="O34" s="37" t="s">
        <v>97</v>
      </c>
      <c r="P34" s="36">
        <v>0.08</v>
      </c>
    </row>
    <row r="35" spans="2:16" ht="18" x14ac:dyDescent="0.35">
      <c r="B35" s="29" t="s">
        <v>98</v>
      </c>
      <c r="C35" s="29">
        <v>6</v>
      </c>
      <c r="D35" s="55"/>
      <c r="E35" s="31" t="str">
        <f t="shared" si="0"/>
        <v>Failed</v>
      </c>
      <c r="F35" s="32" t="str" cm="1">
        <f t="array" ref="F35">_xlfn.IFS(C35&gt;=$O$27,"Excellent",C35&gt;=$O$28, "Very Good", C35&gt;=$O$29, "Good", C35&gt;=$O$30, "Passed", C35&lt;$O$30, "Failed")</f>
        <v>Failed</v>
      </c>
      <c r="G35" s="50" t="str" cm="1">
        <f t="array" ref="G35">IFERROR(_xlfn.IFS(C35&gt;=$O$27,"Excellent",C35&gt;=$O$28, "Very Good", C35&gt;=$O$29, "Good", C35&gt;=$O$30, "Passed", C35&lt;$O$30, "Failed"),"Error")</f>
        <v>Failed</v>
      </c>
      <c r="H35" s="32" t="str" cm="1">
        <f t="array" ref="H35">_xlfn.IFNA(_xlfn.IFS(C35&gt;=$O$27,"Excellent",C35&gt;=$O$28, "Very Good", C35&gt;=$O$29, "Good", C35&gt;=$O$30, "Passed", C35&lt;$O$30, "Failed"), _xleta.N/A)</f>
        <v>Failed</v>
      </c>
      <c r="I35" s="32" t="b">
        <f t="shared" si="4"/>
        <v>0</v>
      </c>
      <c r="J35" s="32" t="b">
        <f t="shared" si="1"/>
        <v>1</v>
      </c>
      <c r="K35" s="32" t="b">
        <f t="shared" si="2"/>
        <v>0</v>
      </c>
      <c r="L35" s="32" t="str">
        <f t="shared" si="3"/>
        <v>Bad</v>
      </c>
      <c r="M35" s="32" t="str" cm="1">
        <f t="array" ref="M35">IFERROR(_xlfn.SWITCH(C35,60,"Good",81,"Excellent",50,"Passed"),"Failed")</f>
        <v>Failed</v>
      </c>
      <c r="O35" s="37" t="s">
        <v>99</v>
      </c>
      <c r="P35" s="36">
        <v>0.05</v>
      </c>
    </row>
    <row r="36" spans="2:16" ht="18" x14ac:dyDescent="0.35">
      <c r="B36" s="29" t="s">
        <v>100</v>
      </c>
      <c r="C36" s="29">
        <v>66</v>
      </c>
      <c r="D36" s="30"/>
      <c r="E36" s="31" t="str">
        <f t="shared" si="0"/>
        <v>Failed</v>
      </c>
      <c r="F36" s="32" t="str" cm="1">
        <f t="array" ref="F36">_xlfn.IFS(C36&gt;=$O$27,"Excellent",C36&gt;=$O$28, "Very Good", C36&gt;=$O$29, "Good", C36&gt;=$O$30, "Passed", C36&lt;$O$30, "Failed")</f>
        <v>Passed</v>
      </c>
      <c r="G36" s="50" t="str" cm="1">
        <f t="array" ref="G36">IFERROR(_xlfn.IFS(C36&gt;=$O$27,"Excellent",C36&gt;=$O$28, "Very Good", C36&gt;=$O$29, "Good", C36&gt;=$O$30, "Passed", C36&lt;$O$30, "Failed"),"Error")</f>
        <v>Passed</v>
      </c>
      <c r="H36" s="32" t="str" cm="1">
        <f t="array" ref="H36">_xlfn.IFNA(_xlfn.IFS(C36&gt;=$O$27,"Excellent",C36&gt;=$O$28, "Very Good", C36&gt;=$O$29, "Good", C36&gt;=$O$30, "Passed", C36&lt;$O$30, "Failed"), _xleta.N/A)</f>
        <v>Passed</v>
      </c>
      <c r="I36" s="32" t="b">
        <f t="shared" si="4"/>
        <v>0</v>
      </c>
      <c r="J36" s="32" t="b">
        <f t="shared" si="1"/>
        <v>0</v>
      </c>
      <c r="K36" s="32" t="b">
        <f t="shared" si="2"/>
        <v>1</v>
      </c>
      <c r="L36" s="32" t="str">
        <f t="shared" si="3"/>
        <v>Bad</v>
      </c>
      <c r="M36" s="32" t="str" cm="1">
        <f t="array" ref="M36">IFERROR(_xlfn.SWITCH(C36,60,"Good",81,"Excellent",50,"Passed"),"Failed")</f>
        <v>Failed</v>
      </c>
      <c r="O36" s="37" t="s">
        <v>101</v>
      </c>
      <c r="P36" s="36">
        <v>0.03</v>
      </c>
    </row>
    <row r="37" spans="2:16" ht="18" x14ac:dyDescent="0.35">
      <c r="B37" s="29" t="s">
        <v>102</v>
      </c>
      <c r="C37" s="29">
        <v>30</v>
      </c>
      <c r="D37" s="55"/>
      <c r="E37" s="31" t="str">
        <f t="shared" si="0"/>
        <v>Failed</v>
      </c>
      <c r="F37" s="32" t="str" cm="1">
        <f t="array" ref="F37">_xlfn.IFS(C37&gt;=$O$27,"Excellent",C37&gt;=$O$28, "Very Good", C37&gt;=$O$29, "Good", C37&gt;=$O$30, "Passed", C37&lt;$O$30, "Failed")</f>
        <v>Failed</v>
      </c>
      <c r="G37" s="50" t="str" cm="1">
        <f t="array" ref="G37">IFERROR(_xlfn.IFS(C37&gt;=$O$27,"Excellent",C37&gt;=$O$28, "Very Good", C37&gt;=$O$29, "Good", C37&gt;=$O$30, "Passed", C37&lt;$O$30, "Failed"),"Error")</f>
        <v>Failed</v>
      </c>
      <c r="H37" s="32" t="str" cm="1">
        <f t="array" ref="H37">_xlfn.IFNA(_xlfn.IFS(C37&gt;=$O$27,"Excellent",C37&gt;=$O$28, "Very Good", C37&gt;=$O$29, "Good", C37&gt;=$O$30, "Passed", C37&lt;$O$30, "Failed"), _xleta.N/A)</f>
        <v>Failed</v>
      </c>
      <c r="I37" s="32" t="b">
        <f t="shared" si="4"/>
        <v>0</v>
      </c>
      <c r="J37" s="32" t="b">
        <f t="shared" si="1"/>
        <v>1</v>
      </c>
      <c r="K37" s="32" t="b">
        <f t="shared" si="2"/>
        <v>0</v>
      </c>
      <c r="L37" s="32" t="str">
        <f t="shared" si="3"/>
        <v>Bad</v>
      </c>
      <c r="M37" s="32" t="str" cm="1">
        <f t="array" ref="M37">IFERROR(_xlfn.SWITCH(C37,60,"Good",81,"Excellent",50,"Passed"),"Failed")</f>
        <v>Failed</v>
      </c>
    </row>
    <row r="38" spans="2:16" ht="18" x14ac:dyDescent="0.35">
      <c r="B38" s="29" t="s">
        <v>103</v>
      </c>
      <c r="C38" s="29">
        <v>73</v>
      </c>
      <c r="D38" s="30"/>
      <c r="E38" s="31" t="str">
        <f t="shared" si="0"/>
        <v>Failed</v>
      </c>
      <c r="F38" s="32" t="str" cm="1">
        <f t="array" ref="F38">_xlfn.IFS(C38&gt;=$O$27,"Excellent",C38&gt;=$O$28, "Very Good", C38&gt;=$O$29, "Good", C38&gt;=$O$30, "Passed", C38&lt;$O$30, "Failed")</f>
        <v>Good</v>
      </c>
      <c r="G38" s="50" t="str" cm="1">
        <f t="array" ref="G38">IFERROR(_xlfn.IFS(C38&gt;=$O$27,"Excellent",C38&gt;=$O$28, "Very Good", C38&gt;=$O$29, "Good", C38&gt;=$O$30, "Passed", C38&lt;$O$30, "Failed"),"Error")</f>
        <v>Good</v>
      </c>
      <c r="H38" s="32" t="str" cm="1">
        <f t="array" ref="H38">_xlfn.IFNA(_xlfn.IFS(C38&gt;=$O$27,"Excellent",C38&gt;=$O$28, "Very Good", C38&gt;=$O$29, "Good", C38&gt;=$O$30, "Passed", C38&lt;$O$30, "Failed"), _xleta.N/A)</f>
        <v>Good</v>
      </c>
      <c r="I38" s="32" t="b">
        <f t="shared" si="4"/>
        <v>0</v>
      </c>
      <c r="J38" s="32" t="b">
        <f t="shared" si="1"/>
        <v>1</v>
      </c>
      <c r="K38" s="32" t="b">
        <f t="shared" si="2"/>
        <v>0</v>
      </c>
      <c r="L38" s="32" t="str">
        <f t="shared" si="3"/>
        <v>Bad</v>
      </c>
      <c r="M38" s="32" t="str" cm="1">
        <f t="array" ref="M38">IFERROR(_xlfn.SWITCH(C38,60,"Good",81,"Excellent",50,"Passed"),"Failed")</f>
        <v>Failed</v>
      </c>
    </row>
    <row r="46" spans="2:16" ht="18" x14ac:dyDescent="0.35">
      <c r="B46" s="38" t="s">
        <v>136</v>
      </c>
    </row>
    <row r="48" spans="2:16" ht="18" x14ac:dyDescent="0.3">
      <c r="C48" s="51" t="s">
        <v>135</v>
      </c>
      <c r="D48" s="51" t="s">
        <v>145</v>
      </c>
      <c r="E48" s="51" t="s">
        <v>146</v>
      </c>
    </row>
    <row r="49" spans="3:5" ht="22.8" customHeight="1" x14ac:dyDescent="0.3">
      <c r="C49" s="54" t="e">
        <v>#DIV/0!</v>
      </c>
      <c r="D49" s="52" t="s">
        <v>137</v>
      </c>
      <c r="E49" s="52" t="s">
        <v>144</v>
      </c>
    </row>
    <row r="50" spans="3:5" ht="25.2" customHeight="1" x14ac:dyDescent="0.3">
      <c r="C50" s="54" t="e">
        <v>#VALUE!</v>
      </c>
      <c r="D50" s="52" t="s">
        <v>138</v>
      </c>
      <c r="E50" s="52" t="s">
        <v>142</v>
      </c>
    </row>
    <row r="51" spans="3:5" ht="29.4" customHeight="1" x14ac:dyDescent="0.3">
      <c r="C51" s="54" t="e">
        <v>#NAME?</v>
      </c>
      <c r="D51" s="52" t="s">
        <v>139</v>
      </c>
      <c r="E51" s="52" t="s">
        <v>143</v>
      </c>
    </row>
    <row r="52" spans="3:5" ht="34.200000000000003" customHeight="1" x14ac:dyDescent="0.3">
      <c r="C52" s="54" t="e">
        <v>#REF!</v>
      </c>
      <c r="D52" s="52" t="s">
        <v>140</v>
      </c>
      <c r="E52" s="52" t="s">
        <v>147</v>
      </c>
    </row>
    <row r="53" spans="3:5" ht="57.6" x14ac:dyDescent="0.3">
      <c r="C53" s="54" t="e">
        <v>#N/A</v>
      </c>
      <c r="D53" s="53" t="s">
        <v>148</v>
      </c>
      <c r="E53" s="52" t="s">
        <v>149</v>
      </c>
    </row>
    <row r="54" spans="3:5" ht="33" customHeight="1" x14ac:dyDescent="0.3">
      <c r="C54" s="54" t="e">
        <v>#NUM!</v>
      </c>
      <c r="D54" s="52" t="s">
        <v>141</v>
      </c>
      <c r="E54" s="52" t="s">
        <v>150</v>
      </c>
    </row>
    <row r="55" spans="3:5" ht="57.6" x14ac:dyDescent="0.3">
      <c r="C55" s="54" t="e">
        <v>#NULL!</v>
      </c>
      <c r="D55" s="53" t="s">
        <v>151</v>
      </c>
      <c r="E55" s="52" t="s">
        <v>152</v>
      </c>
    </row>
  </sheetData>
  <mergeCells count="2">
    <mergeCell ref="O26:P26"/>
    <mergeCell ref="A1:R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976D-36BD-4615-BB2A-F1512953B043}">
  <sheetPr codeName="Sheet1">
    <tabColor theme="9" tint="-0.249977111117893"/>
  </sheetPr>
  <dimension ref="A1:R79"/>
  <sheetViews>
    <sheetView tabSelected="1" topLeftCell="A20" zoomScaleNormal="100" workbookViewId="0">
      <selection activeCell="L31" sqref="L31"/>
    </sheetView>
  </sheetViews>
  <sheetFormatPr defaultColWidth="9.109375" defaultRowHeight="14.4" x14ac:dyDescent="0.3"/>
  <cols>
    <col min="1" max="1" width="3.33203125" style="1" customWidth="1"/>
    <col min="2" max="2" width="6.44140625" style="1" bestFit="1" customWidth="1"/>
    <col min="3" max="3" width="19" style="1" bestFit="1" customWidth="1"/>
    <col min="4" max="4" width="20.21875" style="1" bestFit="1" customWidth="1"/>
    <col min="5" max="5" width="12.44140625" style="1" bestFit="1" customWidth="1"/>
    <col min="6" max="6" width="5.44140625" style="1" bestFit="1" customWidth="1"/>
    <col min="7" max="7" width="8.6640625" style="1" bestFit="1" customWidth="1"/>
    <col min="8" max="8" width="17.77734375" style="1" bestFit="1" customWidth="1"/>
    <col min="9" max="9" width="15.88671875" style="1" bestFit="1" customWidth="1"/>
    <col min="10" max="10" width="7.21875" style="1" bestFit="1" customWidth="1"/>
    <col min="11" max="11" width="19" style="1" bestFit="1" customWidth="1"/>
    <col min="12" max="12" width="20" style="1" bestFit="1" customWidth="1"/>
    <col min="13" max="13" width="15.109375" style="1" bestFit="1" customWidth="1"/>
    <col min="14" max="14" width="16" style="1" customWidth="1"/>
    <col min="15" max="15" width="5.6640625" style="1" customWidth="1"/>
    <col min="16" max="16384" width="9.109375" style="1"/>
  </cols>
  <sheetData>
    <row r="1" spans="1:18" ht="18" x14ac:dyDescent="0.3">
      <c r="A1" s="99" t="s">
        <v>153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3" spans="1:18" ht="15.6" x14ac:dyDescent="0.3">
      <c r="B3" s="95" t="s">
        <v>77</v>
      </c>
      <c r="C3" s="95"/>
      <c r="D3" s="95"/>
      <c r="E3" s="95"/>
      <c r="G3" s="95" t="s">
        <v>78</v>
      </c>
      <c r="H3" s="95"/>
      <c r="I3" s="95"/>
      <c r="J3" s="95"/>
    </row>
    <row r="4" spans="1:18" x14ac:dyDescent="0.3">
      <c r="G4" s="17">
        <v>1</v>
      </c>
      <c r="H4" s="18">
        <v>2</v>
      </c>
      <c r="I4" s="18">
        <v>3</v>
      </c>
      <c r="J4" s="19">
        <v>4</v>
      </c>
    </row>
    <row r="5" spans="1:18" ht="15.6" x14ac:dyDescent="0.3">
      <c r="B5" s="10" t="s">
        <v>0</v>
      </c>
      <c r="C5" s="10" t="s">
        <v>76</v>
      </c>
      <c r="D5" s="10" t="s">
        <v>1</v>
      </c>
      <c r="E5" s="16" t="s">
        <v>2</v>
      </c>
      <c r="G5" s="10" t="s">
        <v>0</v>
      </c>
      <c r="H5" s="10" t="s">
        <v>76</v>
      </c>
      <c r="I5" s="16" t="s">
        <v>2</v>
      </c>
      <c r="J5" s="10" t="s">
        <v>3</v>
      </c>
    </row>
    <row r="6" spans="1:18" x14ac:dyDescent="0.3">
      <c r="B6" s="15">
        <v>1</v>
      </c>
      <c r="C6" s="20" t="s">
        <v>30</v>
      </c>
      <c r="D6" s="2"/>
      <c r="E6" s="25"/>
      <c r="G6" s="2">
        <v>5</v>
      </c>
      <c r="H6" s="20" t="s">
        <v>20</v>
      </c>
      <c r="I6" s="3">
        <v>100</v>
      </c>
      <c r="J6" s="2">
        <v>10</v>
      </c>
    </row>
    <row r="7" spans="1:18" x14ac:dyDescent="0.3">
      <c r="B7" s="2">
        <v>2</v>
      </c>
      <c r="C7" s="20" t="s">
        <v>32</v>
      </c>
      <c r="D7" s="2"/>
      <c r="E7" s="25"/>
      <c r="G7" s="2">
        <v>3</v>
      </c>
      <c r="H7" s="20" t="s">
        <v>17</v>
      </c>
      <c r="I7" s="3">
        <v>200</v>
      </c>
      <c r="J7" s="2">
        <v>15</v>
      </c>
    </row>
    <row r="8" spans="1:18" x14ac:dyDescent="0.3">
      <c r="B8" s="2">
        <v>3</v>
      </c>
      <c r="C8" s="20" t="s">
        <v>17</v>
      </c>
      <c r="D8" s="2"/>
      <c r="E8" s="25"/>
      <c r="G8" s="2">
        <v>4</v>
      </c>
      <c r="H8" s="7" t="s">
        <v>51</v>
      </c>
      <c r="I8" s="3">
        <v>300</v>
      </c>
      <c r="J8" s="2">
        <v>20</v>
      </c>
    </row>
    <row r="9" spans="1:18" x14ac:dyDescent="0.3">
      <c r="B9" s="2">
        <v>4</v>
      </c>
      <c r="C9" s="20" t="s">
        <v>51</v>
      </c>
      <c r="D9" s="2"/>
      <c r="E9" s="25"/>
      <c r="G9" s="2">
        <v>6</v>
      </c>
      <c r="H9" s="20" t="s">
        <v>23</v>
      </c>
      <c r="I9" s="3">
        <v>400</v>
      </c>
      <c r="J9" s="2">
        <v>25</v>
      </c>
    </row>
    <row r="10" spans="1:18" x14ac:dyDescent="0.3">
      <c r="B10" s="2">
        <v>5</v>
      </c>
      <c r="C10" s="20" t="s">
        <v>20</v>
      </c>
      <c r="D10" s="2"/>
      <c r="E10" s="25"/>
      <c r="G10" s="2">
        <v>7</v>
      </c>
      <c r="H10" s="20" t="s">
        <v>25</v>
      </c>
      <c r="I10" s="3">
        <v>500</v>
      </c>
      <c r="J10" s="2">
        <v>30</v>
      </c>
    </row>
    <row r="11" spans="1:18" x14ac:dyDescent="0.3">
      <c r="B11" s="2">
        <v>6</v>
      </c>
      <c r="C11" s="20" t="s">
        <v>23</v>
      </c>
      <c r="D11" s="2"/>
      <c r="E11" s="25"/>
      <c r="G11" s="2">
        <v>8</v>
      </c>
      <c r="H11" s="20" t="s">
        <v>28</v>
      </c>
      <c r="I11" s="3">
        <v>600</v>
      </c>
      <c r="J11" s="2">
        <v>35</v>
      </c>
      <c r="L11" s="4"/>
    </row>
    <row r="12" spans="1:18" ht="15.6" x14ac:dyDescent="0.3">
      <c r="B12" s="2">
        <v>7</v>
      </c>
      <c r="C12" s="20" t="s">
        <v>25</v>
      </c>
      <c r="D12" s="2"/>
      <c r="E12" s="25"/>
      <c r="G12" s="15">
        <v>1</v>
      </c>
      <c r="H12" s="20" t="s">
        <v>30</v>
      </c>
      <c r="I12" s="16">
        <v>700</v>
      </c>
      <c r="J12" s="2">
        <v>40</v>
      </c>
    </row>
    <row r="13" spans="1:18" x14ac:dyDescent="0.3">
      <c r="B13" s="22">
        <v>9</v>
      </c>
      <c r="C13" s="20" t="s">
        <v>79</v>
      </c>
      <c r="D13" s="2"/>
      <c r="E13" s="25"/>
      <c r="G13" s="2">
        <v>2</v>
      </c>
      <c r="H13" s="20" t="s">
        <v>32</v>
      </c>
      <c r="I13" s="3">
        <v>800</v>
      </c>
      <c r="J13" s="2">
        <v>45</v>
      </c>
    </row>
    <row r="14" spans="1:18" x14ac:dyDescent="0.3">
      <c r="C14" s="21"/>
    </row>
    <row r="16" spans="1:18" x14ac:dyDescent="0.3">
      <c r="K16" s="101" t="s">
        <v>174</v>
      </c>
      <c r="M16" s="100" t="s">
        <v>175</v>
      </c>
      <c r="N16" s="100"/>
      <c r="O16" s="100"/>
      <c r="P16" s="100"/>
      <c r="Q16" s="100"/>
    </row>
    <row r="17" spans="2:17" x14ac:dyDescent="0.3">
      <c r="K17" s="101"/>
      <c r="M17" s="100"/>
      <c r="N17" s="100"/>
      <c r="O17" s="100"/>
      <c r="P17" s="100"/>
      <c r="Q17" s="100"/>
    </row>
    <row r="19" spans="2:17" ht="21" x14ac:dyDescent="0.3">
      <c r="B19" s="96" t="s">
        <v>154</v>
      </c>
      <c r="C19" s="97"/>
      <c r="D19" s="97"/>
      <c r="E19" s="97"/>
      <c r="F19" s="97"/>
      <c r="G19" s="97"/>
      <c r="H19" s="97"/>
      <c r="I19" s="98"/>
      <c r="J19" s="6"/>
      <c r="K19" s="61" t="s">
        <v>4</v>
      </c>
      <c r="L19" s="6"/>
      <c r="M19" s="93" t="s">
        <v>156</v>
      </c>
      <c r="N19" s="93"/>
      <c r="O19" s="93"/>
      <c r="P19" s="93"/>
      <c r="Q19" s="93"/>
    </row>
    <row r="20" spans="2:17" ht="15.6" x14ac:dyDescent="0.3">
      <c r="B20" s="6"/>
      <c r="C20" s="6"/>
      <c r="D20" s="6"/>
      <c r="E20" s="6"/>
      <c r="F20" s="6"/>
      <c r="G20" s="6"/>
      <c r="H20" s="6"/>
      <c r="I20" s="6"/>
      <c r="J20" s="6"/>
      <c r="K20" s="61" t="s">
        <v>5</v>
      </c>
      <c r="M20" s="94" t="s">
        <v>157</v>
      </c>
      <c r="N20" s="94"/>
      <c r="O20" s="94"/>
      <c r="P20" s="94"/>
      <c r="Q20" s="94"/>
    </row>
    <row r="21" spans="2:17" ht="15.6" x14ac:dyDescent="0.3">
      <c r="B21" s="27" t="s">
        <v>72</v>
      </c>
      <c r="C21" s="27" t="s">
        <v>6</v>
      </c>
      <c r="D21" s="27" t="s">
        <v>7</v>
      </c>
      <c r="E21" s="64" t="s">
        <v>155</v>
      </c>
      <c r="F21" s="27" t="s">
        <v>9</v>
      </c>
      <c r="G21" s="27" t="s">
        <v>10</v>
      </c>
      <c r="H21" s="27" t="s">
        <v>11</v>
      </c>
      <c r="I21" s="64" t="s">
        <v>12</v>
      </c>
      <c r="J21" s="6"/>
      <c r="K21" s="61" t="s">
        <v>75</v>
      </c>
      <c r="M21" s="93" t="s">
        <v>158</v>
      </c>
      <c r="N21" s="93"/>
      <c r="O21" s="93"/>
      <c r="P21" s="93"/>
      <c r="Q21" s="93"/>
    </row>
    <row r="22" spans="2:17" ht="15.6" x14ac:dyDescent="0.3">
      <c r="B22" s="62">
        <v>1</v>
      </c>
      <c r="C22" s="62" t="s">
        <v>13</v>
      </c>
      <c r="D22" s="62" t="s">
        <v>14</v>
      </c>
      <c r="E22" s="63">
        <v>33666</v>
      </c>
      <c r="F22" s="62">
        <f t="shared" ref="F22:F36" ca="1" si="0">DATEDIF(E22,TODAY(),"Y")</f>
        <v>34</v>
      </c>
      <c r="G22" s="62" t="s">
        <v>15</v>
      </c>
      <c r="H22" s="62" t="s">
        <v>16</v>
      </c>
      <c r="I22" s="62">
        <v>95000</v>
      </c>
      <c r="J22" s="6"/>
      <c r="K22" s="61" t="s">
        <v>74</v>
      </c>
      <c r="M22" s="94" t="s">
        <v>160</v>
      </c>
      <c r="N22" s="94"/>
      <c r="O22" s="94"/>
      <c r="P22" s="94"/>
      <c r="Q22" s="94"/>
    </row>
    <row r="23" spans="2:17" ht="15.6" x14ac:dyDescent="0.3">
      <c r="B23" s="8">
        <v>2</v>
      </c>
      <c r="C23" s="8" t="s">
        <v>17</v>
      </c>
      <c r="D23" s="8" t="s">
        <v>18</v>
      </c>
      <c r="E23" s="23">
        <v>33701</v>
      </c>
      <c r="F23" s="8">
        <f t="shared" ca="1" si="0"/>
        <v>34</v>
      </c>
      <c r="G23" s="8" t="s">
        <v>15</v>
      </c>
      <c r="H23" s="8" t="s">
        <v>19</v>
      </c>
      <c r="I23" s="8">
        <v>64000</v>
      </c>
      <c r="J23" s="6"/>
    </row>
    <row r="24" spans="2:17" ht="15.6" x14ac:dyDescent="0.3">
      <c r="B24" s="8">
        <v>3</v>
      </c>
      <c r="C24" s="8" t="s">
        <v>20</v>
      </c>
      <c r="D24" s="8" t="s">
        <v>21</v>
      </c>
      <c r="E24" s="23">
        <v>32317</v>
      </c>
      <c r="F24" s="8">
        <f t="shared" ca="1" si="0"/>
        <v>38</v>
      </c>
      <c r="G24" s="8" t="s">
        <v>22</v>
      </c>
      <c r="H24" s="8" t="s">
        <v>16</v>
      </c>
      <c r="I24" s="8">
        <v>75000</v>
      </c>
      <c r="J24" s="6"/>
    </row>
    <row r="25" spans="2:17" ht="18.600000000000001" thickBot="1" x14ac:dyDescent="0.35">
      <c r="B25" s="8">
        <v>4</v>
      </c>
      <c r="C25" s="8" t="s">
        <v>23</v>
      </c>
      <c r="D25" s="8" t="s">
        <v>24</v>
      </c>
      <c r="E25" s="23">
        <v>27526</v>
      </c>
      <c r="F25" s="8">
        <f t="shared" ca="1" si="0"/>
        <v>51</v>
      </c>
      <c r="G25" s="8" t="s">
        <v>22</v>
      </c>
      <c r="H25" s="8" t="s">
        <v>16</v>
      </c>
      <c r="I25" s="8">
        <v>71500</v>
      </c>
      <c r="J25" s="6"/>
      <c r="K25" s="58" t="s">
        <v>73</v>
      </c>
      <c r="L25" s="59"/>
      <c r="M25" s="59"/>
      <c r="N25" s="59"/>
    </row>
    <row r="26" spans="2:17" ht="18.600000000000001" thickBot="1" x14ac:dyDescent="0.35">
      <c r="B26" s="8">
        <v>5</v>
      </c>
      <c r="C26" s="8" t="s">
        <v>25</v>
      </c>
      <c r="D26" s="8" t="s">
        <v>26</v>
      </c>
      <c r="E26" s="23">
        <v>29324</v>
      </c>
      <c r="F26" s="8">
        <f t="shared" ca="1" si="0"/>
        <v>46</v>
      </c>
      <c r="G26" s="8" t="s">
        <v>22</v>
      </c>
      <c r="H26" s="8" t="s">
        <v>27</v>
      </c>
      <c r="I26" s="8">
        <v>62050</v>
      </c>
      <c r="J26" s="6"/>
      <c r="K26" s="56" t="s">
        <v>72</v>
      </c>
      <c r="L26" s="5" t="s">
        <v>6</v>
      </c>
      <c r="M26" s="6"/>
      <c r="N26" s="9" t="s">
        <v>73</v>
      </c>
    </row>
    <row r="27" spans="2:17" ht="15.6" x14ac:dyDescent="0.3">
      <c r="B27" s="8">
        <v>6</v>
      </c>
      <c r="C27" s="8" t="s">
        <v>28</v>
      </c>
      <c r="D27" s="8" t="s">
        <v>29</v>
      </c>
      <c r="E27" s="23">
        <v>20162</v>
      </c>
      <c r="F27" s="8">
        <f t="shared" ca="1" si="0"/>
        <v>71</v>
      </c>
      <c r="G27" s="8" t="s">
        <v>22</v>
      </c>
      <c r="H27" s="8" t="s">
        <v>16</v>
      </c>
      <c r="I27" s="8">
        <v>80690</v>
      </c>
      <c r="J27" s="6"/>
      <c r="K27" s="12">
        <v>15</v>
      </c>
      <c r="L27" s="57" t="str">
        <f>VLOOKUP(K27,$B$21:$I$46,2)</f>
        <v>Rania Hassan</v>
      </c>
      <c r="M27" s="6"/>
      <c r="N27" s="11" t="s">
        <v>10</v>
      </c>
    </row>
    <row r="28" spans="2:17" ht="15.6" x14ac:dyDescent="0.3">
      <c r="B28" s="8">
        <v>7</v>
      </c>
      <c r="C28" s="8" t="s">
        <v>30</v>
      </c>
      <c r="D28" s="8" t="s">
        <v>31</v>
      </c>
      <c r="E28" s="23">
        <v>23422</v>
      </c>
      <c r="F28" s="8">
        <f t="shared" ca="1" si="0"/>
        <v>62</v>
      </c>
      <c r="G28" s="8" t="s">
        <v>22</v>
      </c>
      <c r="H28" s="8" t="s">
        <v>16</v>
      </c>
      <c r="I28" s="8">
        <v>66300</v>
      </c>
      <c r="J28" s="6"/>
      <c r="K28" s="11">
        <v>10</v>
      </c>
      <c r="L28" s="57" t="str">
        <f t="shared" ref="L28:L41" si="1">VLOOKUP(K28,$B$21:$I$46,2)</f>
        <v>Yousef Amr</v>
      </c>
      <c r="M28" s="6"/>
      <c r="N28" s="11" t="s">
        <v>11</v>
      </c>
    </row>
    <row r="29" spans="2:17" ht="15.6" x14ac:dyDescent="0.3">
      <c r="B29" s="8">
        <v>8</v>
      </c>
      <c r="C29" s="8" t="s">
        <v>32</v>
      </c>
      <c r="D29" s="8" t="s">
        <v>33</v>
      </c>
      <c r="E29" s="23">
        <v>23027</v>
      </c>
      <c r="F29" s="8">
        <f t="shared" ca="1" si="0"/>
        <v>63</v>
      </c>
      <c r="G29" s="8" t="s">
        <v>15</v>
      </c>
      <c r="H29" s="8" t="s">
        <v>34</v>
      </c>
      <c r="I29" s="8">
        <v>89028</v>
      </c>
      <c r="J29" s="6"/>
      <c r="K29" s="11">
        <v>7</v>
      </c>
      <c r="L29" s="57" t="str">
        <f t="shared" si="1"/>
        <v>Bakr Elmallwany</v>
      </c>
      <c r="M29" s="6"/>
      <c r="N29" s="11" t="s">
        <v>12</v>
      </c>
    </row>
    <row r="30" spans="2:17" ht="15.6" x14ac:dyDescent="0.3">
      <c r="B30" s="8">
        <v>9</v>
      </c>
      <c r="C30" s="8" t="s">
        <v>35</v>
      </c>
      <c r="D30" s="8" t="s">
        <v>36</v>
      </c>
      <c r="E30" s="23">
        <v>24885</v>
      </c>
      <c r="F30" s="8">
        <f t="shared" ca="1" si="0"/>
        <v>58</v>
      </c>
      <c r="G30" s="8" t="s">
        <v>22</v>
      </c>
      <c r="H30" s="8" t="s">
        <v>37</v>
      </c>
      <c r="I30" s="8">
        <v>78000</v>
      </c>
      <c r="J30" s="6"/>
      <c r="K30" s="11">
        <v>11</v>
      </c>
      <c r="L30" s="57" t="str">
        <f t="shared" si="1"/>
        <v>Omar Mohamed</v>
      </c>
      <c r="M30" s="6"/>
      <c r="N30" s="6"/>
    </row>
    <row r="31" spans="2:17" ht="15.6" x14ac:dyDescent="0.3">
      <c r="B31" s="8">
        <v>10</v>
      </c>
      <c r="C31" s="8" t="s">
        <v>38</v>
      </c>
      <c r="D31" s="8" t="s">
        <v>39</v>
      </c>
      <c r="E31" s="23">
        <v>22751</v>
      </c>
      <c r="F31" s="8">
        <f t="shared" ca="1" si="0"/>
        <v>64</v>
      </c>
      <c r="G31" s="8" t="s">
        <v>22</v>
      </c>
      <c r="H31" s="8" t="s">
        <v>16</v>
      </c>
      <c r="I31" s="8">
        <v>65500</v>
      </c>
      <c r="J31" s="6"/>
      <c r="K31" s="11">
        <v>5</v>
      </c>
      <c r="L31" s="57" t="str">
        <f t="shared" si="1"/>
        <v>Hesham Mostafa</v>
      </c>
      <c r="M31" s="6"/>
      <c r="N31" s="6"/>
    </row>
    <row r="32" spans="2:17" ht="15.6" x14ac:dyDescent="0.3">
      <c r="B32" s="8">
        <v>11</v>
      </c>
      <c r="C32" s="8" t="s">
        <v>40</v>
      </c>
      <c r="D32" s="8" t="s">
        <v>41</v>
      </c>
      <c r="E32" s="23">
        <v>24549</v>
      </c>
      <c r="F32" s="8">
        <f t="shared" ca="1" si="0"/>
        <v>59</v>
      </c>
      <c r="G32" s="8" t="s">
        <v>22</v>
      </c>
      <c r="H32" s="8" t="s">
        <v>37</v>
      </c>
      <c r="I32" s="8">
        <v>78000</v>
      </c>
      <c r="J32" s="6"/>
      <c r="K32" s="11">
        <v>6</v>
      </c>
      <c r="L32" s="57" t="str">
        <f t="shared" si="1"/>
        <v>Ibrahim Ali</v>
      </c>
      <c r="M32" s="6"/>
      <c r="N32" s="6"/>
    </row>
    <row r="33" spans="1:17" ht="15.6" x14ac:dyDescent="0.3">
      <c r="B33" s="8">
        <v>12</v>
      </c>
      <c r="C33" s="8" t="s">
        <v>42</v>
      </c>
      <c r="D33" s="8" t="s">
        <v>43</v>
      </c>
      <c r="E33" s="23">
        <v>26408</v>
      </c>
      <c r="F33" s="8">
        <f t="shared" ca="1" si="0"/>
        <v>54</v>
      </c>
      <c r="G33" s="8" t="s">
        <v>22</v>
      </c>
      <c r="H33" s="8" t="s">
        <v>19</v>
      </c>
      <c r="I33" s="8">
        <v>92004</v>
      </c>
      <c r="J33" s="6"/>
      <c r="K33" s="11">
        <v>12</v>
      </c>
      <c r="L33" s="57" t="str">
        <f t="shared" si="1"/>
        <v>Mohamed Fathy</v>
      </c>
      <c r="M33" s="6"/>
      <c r="N33" s="6"/>
    </row>
    <row r="34" spans="1:17" ht="15.6" x14ac:dyDescent="0.3">
      <c r="B34" s="8">
        <v>13</v>
      </c>
      <c r="C34" s="8" t="s">
        <v>44</v>
      </c>
      <c r="D34" s="8" t="s">
        <v>45</v>
      </c>
      <c r="E34" s="23">
        <v>29726</v>
      </c>
      <c r="F34" s="8">
        <f t="shared" ca="1" si="0"/>
        <v>45</v>
      </c>
      <c r="G34" s="8" t="s">
        <v>15</v>
      </c>
      <c r="H34" s="8" t="s">
        <v>46</v>
      </c>
      <c r="I34" s="8">
        <v>97000</v>
      </c>
      <c r="J34" s="6"/>
      <c r="K34" s="11">
        <v>2</v>
      </c>
      <c r="L34" s="57" t="str">
        <f t="shared" si="1"/>
        <v>Iman Bahaa</v>
      </c>
      <c r="M34" s="6"/>
      <c r="N34" s="6"/>
    </row>
    <row r="35" spans="1:17" ht="15.6" x14ac:dyDescent="0.3">
      <c r="B35" s="8">
        <v>14</v>
      </c>
      <c r="C35" s="8" t="s">
        <v>47</v>
      </c>
      <c r="D35" s="8" t="s">
        <v>48</v>
      </c>
      <c r="E35" s="23">
        <v>23914</v>
      </c>
      <c r="F35" s="8">
        <f t="shared" ca="1" si="0"/>
        <v>61</v>
      </c>
      <c r="G35" s="8" t="s">
        <v>22</v>
      </c>
      <c r="H35" s="8" t="s">
        <v>37</v>
      </c>
      <c r="I35" s="8">
        <v>120000</v>
      </c>
      <c r="J35" s="6"/>
      <c r="K35" s="11">
        <v>9</v>
      </c>
      <c r="L35" s="57" t="str">
        <f t="shared" si="1"/>
        <v>Islam Gamal</v>
      </c>
      <c r="M35" s="6"/>
      <c r="N35" s="6"/>
    </row>
    <row r="36" spans="1:17" ht="15.6" x14ac:dyDescent="0.3">
      <c r="B36" s="8">
        <v>15</v>
      </c>
      <c r="C36" s="8" t="s">
        <v>49</v>
      </c>
      <c r="D36" s="8" t="s">
        <v>50</v>
      </c>
      <c r="E36" s="23">
        <v>27597</v>
      </c>
      <c r="F36" s="8">
        <f t="shared" ca="1" si="0"/>
        <v>51</v>
      </c>
      <c r="G36" s="8" t="s">
        <v>22</v>
      </c>
      <c r="H36" s="8" t="s">
        <v>46</v>
      </c>
      <c r="I36" s="8">
        <v>128000</v>
      </c>
      <c r="J36" s="6"/>
      <c r="K36" s="11">
        <v>14</v>
      </c>
      <c r="L36" s="57" t="str">
        <f t="shared" si="1"/>
        <v>Nasr Hassan</v>
      </c>
      <c r="M36" s="6"/>
      <c r="N36" s="6"/>
    </row>
    <row r="37" spans="1:17" ht="15.6" x14ac:dyDescent="0.3">
      <c r="B37" s="8">
        <v>15</v>
      </c>
      <c r="C37" s="8" t="s">
        <v>51</v>
      </c>
      <c r="D37" s="8" t="s">
        <v>52</v>
      </c>
      <c r="E37" s="23">
        <v>31282</v>
      </c>
      <c r="F37" s="8">
        <v>39</v>
      </c>
      <c r="G37" s="8" t="s">
        <v>15</v>
      </c>
      <c r="H37" s="8" t="s">
        <v>27</v>
      </c>
      <c r="I37" s="8">
        <v>131000</v>
      </c>
      <c r="J37" s="6"/>
      <c r="K37" s="11">
        <v>8</v>
      </c>
      <c r="L37" s="57" t="str">
        <f t="shared" si="1"/>
        <v>Samah Fahmy</v>
      </c>
      <c r="M37" s="6"/>
      <c r="N37" s="6"/>
    </row>
    <row r="38" spans="1:17" ht="15.6" x14ac:dyDescent="0.3">
      <c r="B38" s="8">
        <v>15</v>
      </c>
      <c r="C38" s="8" t="s">
        <v>53</v>
      </c>
      <c r="D38" s="8" t="s">
        <v>54</v>
      </c>
      <c r="E38" s="23">
        <v>29488</v>
      </c>
      <c r="F38" s="8">
        <v>44</v>
      </c>
      <c r="G38" s="8" t="s">
        <v>22</v>
      </c>
      <c r="H38" s="8" t="s">
        <v>16</v>
      </c>
      <c r="I38" s="8">
        <v>221850</v>
      </c>
      <c r="J38" s="6"/>
      <c r="K38" s="11">
        <v>4</v>
      </c>
      <c r="L38" s="57" t="str">
        <f t="shared" si="1"/>
        <v>Mohamed Mostafa</v>
      </c>
      <c r="M38" s="6"/>
      <c r="N38" s="6"/>
    </row>
    <row r="39" spans="1:17" ht="15.6" x14ac:dyDescent="0.3">
      <c r="B39" s="8">
        <v>15</v>
      </c>
      <c r="C39" s="8" t="s">
        <v>55</v>
      </c>
      <c r="D39" s="8" t="s">
        <v>60</v>
      </c>
      <c r="E39" s="23">
        <v>16735</v>
      </c>
      <c r="F39" s="8">
        <v>79</v>
      </c>
      <c r="G39" s="8" t="s">
        <v>22</v>
      </c>
      <c r="H39" s="8" t="s">
        <v>61</v>
      </c>
      <c r="I39" s="8">
        <v>70000</v>
      </c>
      <c r="J39" s="6"/>
      <c r="K39" s="11">
        <v>1</v>
      </c>
      <c r="L39" s="57" t="str">
        <f t="shared" si="1"/>
        <v>Mirna Tarek</v>
      </c>
      <c r="M39" s="6"/>
      <c r="N39" s="6"/>
    </row>
    <row r="40" spans="1:17" ht="15.6" x14ac:dyDescent="0.3">
      <c r="B40" s="8">
        <v>15</v>
      </c>
      <c r="C40" s="8" t="s">
        <v>44</v>
      </c>
      <c r="D40" s="8" t="s">
        <v>62</v>
      </c>
      <c r="E40" s="23">
        <v>27359</v>
      </c>
      <c r="F40" s="8">
        <v>49</v>
      </c>
      <c r="G40" s="8" t="s">
        <v>22</v>
      </c>
      <c r="H40" s="8" t="s">
        <v>63</v>
      </c>
      <c r="I40" s="8">
        <v>65000</v>
      </c>
      <c r="J40" s="6"/>
      <c r="K40" s="11">
        <v>3</v>
      </c>
      <c r="L40" s="57" t="str">
        <f t="shared" si="1"/>
        <v>Ahmed Mohamed</v>
      </c>
      <c r="M40" s="6"/>
      <c r="N40" s="6"/>
    </row>
    <row r="41" spans="1:17" ht="15.6" x14ac:dyDescent="0.3">
      <c r="B41" s="8">
        <v>15</v>
      </c>
      <c r="C41" s="8" t="s">
        <v>56</v>
      </c>
      <c r="D41" s="8" t="s">
        <v>51</v>
      </c>
      <c r="E41" s="23">
        <v>27025</v>
      </c>
      <c r="F41" s="8">
        <v>50</v>
      </c>
      <c r="G41" s="8" t="s">
        <v>22</v>
      </c>
      <c r="H41" s="8" t="s">
        <v>63</v>
      </c>
      <c r="I41" s="8">
        <v>85000</v>
      </c>
      <c r="J41" s="6"/>
      <c r="K41" s="11">
        <v>13</v>
      </c>
      <c r="L41" s="57" t="str">
        <f t="shared" si="1"/>
        <v>Hania Gomaa</v>
      </c>
      <c r="M41" s="6"/>
      <c r="N41" s="6"/>
    </row>
    <row r="42" spans="1:17" ht="15.6" x14ac:dyDescent="0.3">
      <c r="B42" s="8">
        <v>15</v>
      </c>
      <c r="C42" s="8" t="s">
        <v>57</v>
      </c>
      <c r="D42" s="8" t="s">
        <v>64</v>
      </c>
      <c r="E42" s="23">
        <v>29386</v>
      </c>
      <c r="F42" s="8">
        <v>44</v>
      </c>
      <c r="G42" s="8" t="s">
        <v>22</v>
      </c>
      <c r="H42" s="8" t="s">
        <v>65</v>
      </c>
      <c r="I42" s="8">
        <v>77100</v>
      </c>
      <c r="J42" s="6"/>
    </row>
    <row r="43" spans="1:17" ht="15.6" x14ac:dyDescent="0.3">
      <c r="B43" s="8">
        <v>15</v>
      </c>
      <c r="C43" s="8" t="s">
        <v>44</v>
      </c>
      <c r="D43" s="8" t="s">
        <v>66</v>
      </c>
      <c r="E43" s="23">
        <v>28153</v>
      </c>
      <c r="F43" s="8">
        <v>47</v>
      </c>
      <c r="G43" s="8" t="s">
        <v>22</v>
      </c>
      <c r="H43" s="8" t="s">
        <v>27</v>
      </c>
      <c r="I43" s="8">
        <v>110000</v>
      </c>
      <c r="J43" s="6"/>
    </row>
    <row r="44" spans="1:17" ht="15.6" x14ac:dyDescent="0.3">
      <c r="B44" s="8">
        <v>15</v>
      </c>
      <c r="C44" s="8" t="s">
        <v>58</v>
      </c>
      <c r="D44" s="8" t="s">
        <v>67</v>
      </c>
      <c r="E44" s="23">
        <v>31118</v>
      </c>
      <c r="F44" s="8">
        <v>39</v>
      </c>
      <c r="G44" s="8" t="s">
        <v>22</v>
      </c>
      <c r="H44" s="8" t="s">
        <v>34</v>
      </c>
      <c r="I44" s="8">
        <v>78956</v>
      </c>
      <c r="J44" s="6"/>
      <c r="K44" s="90" t="s">
        <v>176</v>
      </c>
      <c r="L44" s="90"/>
      <c r="M44" s="90"/>
      <c r="N44" s="90"/>
      <c r="O44" s="90"/>
      <c r="P44" s="90"/>
      <c r="Q44" s="90"/>
    </row>
    <row r="45" spans="1:17" ht="15.6" x14ac:dyDescent="0.3">
      <c r="B45" s="8">
        <v>15</v>
      </c>
      <c r="C45" s="8" t="s">
        <v>59</v>
      </c>
      <c r="D45" s="8" t="s">
        <v>68</v>
      </c>
      <c r="E45" s="23">
        <v>32410</v>
      </c>
      <c r="F45" s="8">
        <v>36</v>
      </c>
      <c r="G45" s="8" t="s">
        <v>22</v>
      </c>
      <c r="H45" s="8" t="s">
        <v>27</v>
      </c>
      <c r="I45" s="8">
        <v>83000</v>
      </c>
      <c r="J45" s="6"/>
      <c r="K45" s="91" t="s">
        <v>159</v>
      </c>
      <c r="L45" s="91"/>
      <c r="M45" s="91"/>
      <c r="N45" s="91"/>
      <c r="O45" s="91"/>
      <c r="P45" s="91"/>
      <c r="Q45" s="91"/>
    </row>
    <row r="46" spans="1:17" ht="15.6" x14ac:dyDescent="0.3">
      <c r="B46" s="8">
        <v>15</v>
      </c>
      <c r="C46" s="8" t="s">
        <v>69</v>
      </c>
      <c r="D46" s="8" t="s">
        <v>70</v>
      </c>
      <c r="E46" s="23">
        <v>31835</v>
      </c>
      <c r="F46" s="8">
        <v>37</v>
      </c>
      <c r="G46" s="8" t="s">
        <v>15</v>
      </c>
      <c r="H46" s="8" t="s">
        <v>71</v>
      </c>
      <c r="I46" s="8">
        <v>85000</v>
      </c>
      <c r="J46" s="6"/>
      <c r="K46" s="90" t="s">
        <v>177</v>
      </c>
      <c r="L46" s="90"/>
      <c r="M46" s="90"/>
      <c r="N46" s="90"/>
      <c r="O46" s="90"/>
      <c r="P46" s="90"/>
      <c r="Q46" s="90"/>
    </row>
    <row r="47" spans="1:17" ht="15.6" x14ac:dyDescent="0.3">
      <c r="A47" s="6"/>
      <c r="B47" s="6"/>
      <c r="C47" s="6"/>
      <c r="D47" s="6"/>
      <c r="E47" s="6"/>
      <c r="F47" s="6"/>
      <c r="G47" s="6"/>
      <c r="H47" s="6"/>
      <c r="I47" s="6"/>
      <c r="J47" s="6"/>
    </row>
    <row r="50" spans="2:17" x14ac:dyDescent="0.3">
      <c r="H50" s="92" t="s">
        <v>178</v>
      </c>
      <c r="I50" s="92"/>
      <c r="J50" s="92"/>
      <c r="K50" s="92"/>
    </row>
    <row r="51" spans="2:17" x14ac:dyDescent="0.3">
      <c r="H51" s="92"/>
      <c r="I51" s="92"/>
      <c r="J51" s="92"/>
      <c r="K51" s="92"/>
    </row>
    <row r="54" spans="2:17" ht="18" x14ac:dyDescent="0.3">
      <c r="B54" s="27" t="s">
        <v>72</v>
      </c>
      <c r="C54" s="27" t="s">
        <v>6</v>
      </c>
      <c r="D54" s="27" t="s">
        <v>7</v>
      </c>
      <c r="E54" s="64" t="s">
        <v>155</v>
      </c>
      <c r="F54" s="27" t="s">
        <v>9</v>
      </c>
      <c r="G54" s="27" t="s">
        <v>10</v>
      </c>
      <c r="H54" s="27" t="s">
        <v>11</v>
      </c>
      <c r="I54" s="64" t="s">
        <v>12</v>
      </c>
      <c r="J54" s="6"/>
      <c r="K54" s="58" t="s">
        <v>73</v>
      </c>
      <c r="L54" s="59"/>
      <c r="M54" s="59"/>
      <c r="N54" s="59"/>
      <c r="O54" s="60"/>
      <c r="P54" s="60"/>
      <c r="Q54" s="60"/>
    </row>
    <row r="55" spans="2:17" ht="18" x14ac:dyDescent="0.3">
      <c r="B55" s="62">
        <v>1</v>
      </c>
      <c r="C55" s="62" t="s">
        <v>13</v>
      </c>
      <c r="D55" s="62" t="s">
        <v>14</v>
      </c>
      <c r="E55" s="63">
        <v>33666</v>
      </c>
      <c r="F55" s="62">
        <f t="shared" ref="F55:F69" ca="1" si="2">DATEDIF(E55,TODAY(),"Y")</f>
        <v>34</v>
      </c>
      <c r="G55" s="62" t="s">
        <v>15</v>
      </c>
      <c r="H55" s="62" t="s">
        <v>16</v>
      </c>
      <c r="I55" s="62">
        <v>95000</v>
      </c>
      <c r="J55" s="6"/>
      <c r="K55" s="27" t="s">
        <v>6</v>
      </c>
      <c r="L55" s="27" t="s">
        <v>10</v>
      </c>
      <c r="M55" s="6"/>
      <c r="N55" s="9" t="s">
        <v>73</v>
      </c>
      <c r="O55" s="60"/>
      <c r="P55" s="60"/>
      <c r="Q55" s="60"/>
    </row>
    <row r="56" spans="2:17" ht="15.6" x14ac:dyDescent="0.3">
      <c r="B56" s="8">
        <v>2</v>
      </c>
      <c r="C56" s="8" t="s">
        <v>17</v>
      </c>
      <c r="D56" s="8" t="s">
        <v>18</v>
      </c>
      <c r="E56" s="23">
        <v>33701</v>
      </c>
      <c r="F56" s="8">
        <f t="shared" ca="1" si="2"/>
        <v>34</v>
      </c>
      <c r="G56" s="8" t="s">
        <v>15</v>
      </c>
      <c r="H56" s="8" t="s">
        <v>19</v>
      </c>
      <c r="I56" s="8">
        <v>64000</v>
      </c>
      <c r="J56" s="6"/>
      <c r="K56" s="12" t="s">
        <v>13</v>
      </c>
      <c r="L56" s="57"/>
      <c r="M56" s="6"/>
      <c r="N56" s="11" t="s">
        <v>11</v>
      </c>
    </row>
    <row r="57" spans="2:17" ht="15.6" x14ac:dyDescent="0.3">
      <c r="B57" s="8">
        <v>3</v>
      </c>
      <c r="C57" s="8" t="s">
        <v>20</v>
      </c>
      <c r="D57" s="8" t="s">
        <v>21</v>
      </c>
      <c r="E57" s="23">
        <v>32317</v>
      </c>
      <c r="F57" s="8">
        <f t="shared" ca="1" si="2"/>
        <v>38</v>
      </c>
      <c r="G57" s="8" t="s">
        <v>22</v>
      </c>
      <c r="H57" s="8" t="s">
        <v>16</v>
      </c>
      <c r="I57" s="8">
        <v>75000</v>
      </c>
      <c r="J57" s="6"/>
      <c r="K57" s="11" t="s">
        <v>17</v>
      </c>
      <c r="L57" s="57"/>
      <c r="M57" s="6"/>
      <c r="N57" s="11" t="s">
        <v>10</v>
      </c>
    </row>
    <row r="58" spans="2:17" ht="15.6" x14ac:dyDescent="0.3">
      <c r="B58" s="8">
        <v>4</v>
      </c>
      <c r="C58" s="8" t="s">
        <v>23</v>
      </c>
      <c r="D58" s="8" t="s">
        <v>24</v>
      </c>
      <c r="E58" s="23">
        <v>27526</v>
      </c>
      <c r="F58" s="8">
        <f t="shared" ca="1" si="2"/>
        <v>51</v>
      </c>
      <c r="G58" s="8" t="s">
        <v>22</v>
      </c>
      <c r="H58" s="8" t="s">
        <v>16</v>
      </c>
      <c r="I58" s="8">
        <v>71500</v>
      </c>
      <c r="J58" s="6"/>
      <c r="K58" s="11" t="s">
        <v>20</v>
      </c>
      <c r="L58" s="57"/>
      <c r="M58" s="6"/>
      <c r="N58" s="11" t="s">
        <v>6</v>
      </c>
    </row>
    <row r="59" spans="2:17" ht="15.6" x14ac:dyDescent="0.3">
      <c r="B59" s="8">
        <v>5</v>
      </c>
      <c r="C59" s="8" t="s">
        <v>25</v>
      </c>
      <c r="D59" s="8" t="s">
        <v>26</v>
      </c>
      <c r="E59" s="23">
        <v>29324</v>
      </c>
      <c r="F59" s="8">
        <f t="shared" ca="1" si="2"/>
        <v>46</v>
      </c>
      <c r="G59" s="8" t="s">
        <v>22</v>
      </c>
      <c r="H59" s="8" t="s">
        <v>27</v>
      </c>
      <c r="I59" s="8">
        <v>62050</v>
      </c>
      <c r="J59" s="6"/>
      <c r="K59" s="11" t="s">
        <v>23</v>
      </c>
      <c r="L59" s="57"/>
      <c r="M59" s="6"/>
      <c r="N59" s="6"/>
    </row>
    <row r="60" spans="2:17" ht="15.6" x14ac:dyDescent="0.3">
      <c r="B60" s="8">
        <v>6</v>
      </c>
      <c r="C60" s="8" t="s">
        <v>28</v>
      </c>
      <c r="D60" s="8" t="s">
        <v>29</v>
      </c>
      <c r="E60" s="23">
        <v>20162</v>
      </c>
      <c r="F60" s="8">
        <f t="shared" ca="1" si="2"/>
        <v>71</v>
      </c>
      <c r="G60" s="8" t="s">
        <v>22</v>
      </c>
      <c r="H60" s="8" t="s">
        <v>16</v>
      </c>
      <c r="I60" s="8">
        <v>80690</v>
      </c>
      <c r="J60" s="6"/>
      <c r="K60" s="11" t="s">
        <v>25</v>
      </c>
      <c r="L60" s="57"/>
      <c r="M60" s="6"/>
      <c r="N60" s="6"/>
    </row>
    <row r="61" spans="2:17" ht="15.6" x14ac:dyDescent="0.3">
      <c r="B61" s="8">
        <v>7</v>
      </c>
      <c r="C61" s="8" t="s">
        <v>30</v>
      </c>
      <c r="D61" s="8" t="s">
        <v>31</v>
      </c>
      <c r="E61" s="23">
        <v>23422</v>
      </c>
      <c r="F61" s="8">
        <f t="shared" ca="1" si="2"/>
        <v>62</v>
      </c>
      <c r="G61" s="8" t="s">
        <v>22</v>
      </c>
      <c r="H61" s="8" t="s">
        <v>16</v>
      </c>
      <c r="I61" s="8">
        <v>66300</v>
      </c>
      <c r="J61" s="6"/>
      <c r="K61" s="11" t="s">
        <v>28</v>
      </c>
      <c r="L61" s="57"/>
      <c r="M61" s="6"/>
      <c r="N61" s="6"/>
    </row>
    <row r="62" spans="2:17" ht="15.6" x14ac:dyDescent="0.3">
      <c r="B62" s="8">
        <v>8</v>
      </c>
      <c r="C62" s="8" t="s">
        <v>32</v>
      </c>
      <c r="D62" s="8" t="s">
        <v>33</v>
      </c>
      <c r="E62" s="23">
        <v>23027</v>
      </c>
      <c r="F62" s="8">
        <f t="shared" ca="1" si="2"/>
        <v>63</v>
      </c>
      <c r="G62" s="8" t="s">
        <v>15</v>
      </c>
      <c r="H62" s="8" t="s">
        <v>34</v>
      </c>
      <c r="I62" s="8">
        <v>89028</v>
      </c>
      <c r="J62" s="6"/>
      <c r="K62" s="11" t="s">
        <v>30</v>
      </c>
      <c r="L62" s="57"/>
      <c r="M62" s="6"/>
      <c r="N62" s="6"/>
    </row>
    <row r="63" spans="2:17" ht="15.6" x14ac:dyDescent="0.3">
      <c r="B63" s="8">
        <v>9</v>
      </c>
      <c r="C63" s="8" t="s">
        <v>35</v>
      </c>
      <c r="D63" s="8" t="s">
        <v>36</v>
      </c>
      <c r="E63" s="23">
        <v>24885</v>
      </c>
      <c r="F63" s="8">
        <f t="shared" ca="1" si="2"/>
        <v>58</v>
      </c>
      <c r="G63" s="8" t="s">
        <v>22</v>
      </c>
      <c r="H63" s="8" t="s">
        <v>37</v>
      </c>
      <c r="I63" s="8">
        <v>78000</v>
      </c>
      <c r="J63" s="6"/>
      <c r="K63" s="11" t="s">
        <v>32</v>
      </c>
      <c r="L63" s="57"/>
      <c r="M63" s="6"/>
      <c r="N63" s="6"/>
    </row>
    <row r="64" spans="2:17" ht="15.6" x14ac:dyDescent="0.3">
      <c r="B64" s="8">
        <v>10</v>
      </c>
      <c r="C64" s="8" t="s">
        <v>38</v>
      </c>
      <c r="D64" s="8" t="s">
        <v>39</v>
      </c>
      <c r="E64" s="23">
        <v>22751</v>
      </c>
      <c r="F64" s="8">
        <f t="shared" ca="1" si="2"/>
        <v>64</v>
      </c>
      <c r="G64" s="8" t="s">
        <v>22</v>
      </c>
      <c r="H64" s="8" t="s">
        <v>16</v>
      </c>
      <c r="I64" s="8">
        <v>65500</v>
      </c>
      <c r="J64" s="6"/>
      <c r="K64" s="11" t="s">
        <v>35</v>
      </c>
      <c r="L64" s="57"/>
      <c r="M64" s="6"/>
      <c r="N64" s="6"/>
    </row>
    <row r="65" spans="2:17" ht="15.6" x14ac:dyDescent="0.3">
      <c r="B65" s="8">
        <v>11</v>
      </c>
      <c r="C65" s="8" t="s">
        <v>40</v>
      </c>
      <c r="D65" s="8" t="s">
        <v>41</v>
      </c>
      <c r="E65" s="23">
        <v>24549</v>
      </c>
      <c r="F65" s="8">
        <f t="shared" ca="1" si="2"/>
        <v>59</v>
      </c>
      <c r="G65" s="8" t="s">
        <v>22</v>
      </c>
      <c r="H65" s="8" t="s">
        <v>37</v>
      </c>
      <c r="I65" s="8">
        <v>78000</v>
      </c>
      <c r="J65" s="6"/>
      <c r="K65" s="11" t="s">
        <v>38</v>
      </c>
      <c r="L65" s="57"/>
      <c r="M65" s="6"/>
      <c r="N65" s="6"/>
    </row>
    <row r="66" spans="2:17" ht="15.6" x14ac:dyDescent="0.3">
      <c r="B66" s="8">
        <v>12</v>
      </c>
      <c r="C66" s="8" t="s">
        <v>42</v>
      </c>
      <c r="D66" s="8" t="s">
        <v>43</v>
      </c>
      <c r="E66" s="23">
        <v>26408</v>
      </c>
      <c r="F66" s="8">
        <f t="shared" ca="1" si="2"/>
        <v>54</v>
      </c>
      <c r="G66" s="8" t="s">
        <v>22</v>
      </c>
      <c r="H66" s="8" t="s">
        <v>19</v>
      </c>
      <c r="I66" s="8">
        <v>92004</v>
      </c>
      <c r="J66" s="6"/>
      <c r="K66" s="11" t="s">
        <v>40</v>
      </c>
      <c r="L66" s="57"/>
      <c r="M66" s="6"/>
      <c r="N66" s="6"/>
    </row>
    <row r="67" spans="2:17" ht="15.6" x14ac:dyDescent="0.3">
      <c r="B67" s="8">
        <v>13</v>
      </c>
      <c r="C67" s="8" t="s">
        <v>44</v>
      </c>
      <c r="D67" s="8" t="s">
        <v>45</v>
      </c>
      <c r="E67" s="23">
        <v>29726</v>
      </c>
      <c r="F67" s="8">
        <f t="shared" ca="1" si="2"/>
        <v>45</v>
      </c>
      <c r="G67" s="8" t="s">
        <v>15</v>
      </c>
      <c r="H67" s="8" t="s">
        <v>46</v>
      </c>
      <c r="I67" s="8">
        <v>97000</v>
      </c>
      <c r="J67" s="6"/>
      <c r="K67" s="11" t="s">
        <v>42</v>
      </c>
      <c r="L67" s="57"/>
      <c r="M67" s="6"/>
      <c r="N67" s="6"/>
    </row>
    <row r="68" spans="2:17" ht="15.6" x14ac:dyDescent="0.3">
      <c r="B68" s="8">
        <v>14</v>
      </c>
      <c r="C68" s="8" t="s">
        <v>47</v>
      </c>
      <c r="D68" s="8" t="s">
        <v>48</v>
      </c>
      <c r="E68" s="23">
        <v>23914</v>
      </c>
      <c r="F68" s="8">
        <f t="shared" ca="1" si="2"/>
        <v>61</v>
      </c>
      <c r="G68" s="8" t="s">
        <v>22</v>
      </c>
      <c r="H68" s="8" t="s">
        <v>37</v>
      </c>
      <c r="I68" s="8">
        <v>120000</v>
      </c>
      <c r="J68" s="6"/>
      <c r="K68" s="11" t="s">
        <v>44</v>
      </c>
      <c r="L68" s="57"/>
      <c r="M68" s="6"/>
      <c r="N68" s="6"/>
    </row>
    <row r="69" spans="2:17" ht="15.6" x14ac:dyDescent="0.3">
      <c r="B69" s="8">
        <v>15</v>
      </c>
      <c r="C69" s="8" t="s">
        <v>49</v>
      </c>
      <c r="D69" s="8" t="s">
        <v>50</v>
      </c>
      <c r="E69" s="23">
        <v>27597</v>
      </c>
      <c r="F69" s="8">
        <f t="shared" ca="1" si="2"/>
        <v>51</v>
      </c>
      <c r="G69" s="8" t="s">
        <v>22</v>
      </c>
      <c r="H69" s="8" t="s">
        <v>46</v>
      </c>
      <c r="I69" s="8">
        <v>128000</v>
      </c>
      <c r="J69" s="6"/>
      <c r="K69" s="11" t="s">
        <v>47</v>
      </c>
      <c r="L69" s="57"/>
      <c r="M69" s="6"/>
      <c r="N69" s="6"/>
    </row>
    <row r="70" spans="2:17" ht="15.6" x14ac:dyDescent="0.3">
      <c r="B70" s="8">
        <v>16</v>
      </c>
      <c r="C70" s="8" t="s">
        <v>51</v>
      </c>
      <c r="D70" s="8" t="s">
        <v>52</v>
      </c>
      <c r="E70" s="23">
        <v>31282</v>
      </c>
      <c r="F70" s="8">
        <v>39</v>
      </c>
      <c r="G70" s="8" t="s">
        <v>15</v>
      </c>
      <c r="H70" s="8" t="s">
        <v>27</v>
      </c>
      <c r="I70" s="8">
        <v>131000</v>
      </c>
      <c r="J70" s="6"/>
      <c r="K70" s="11" t="s">
        <v>49</v>
      </c>
      <c r="L70" s="57"/>
      <c r="M70" s="6"/>
      <c r="N70" s="6"/>
    </row>
    <row r="71" spans="2:17" ht="15.6" x14ac:dyDescent="0.3">
      <c r="B71" s="8">
        <v>17</v>
      </c>
      <c r="C71" s="8" t="s">
        <v>53</v>
      </c>
      <c r="D71" s="8" t="s">
        <v>54</v>
      </c>
      <c r="E71" s="23">
        <v>29488</v>
      </c>
      <c r="F71" s="8">
        <v>44</v>
      </c>
      <c r="G71" s="8" t="s">
        <v>22</v>
      </c>
      <c r="H71" s="8" t="s">
        <v>16</v>
      </c>
      <c r="I71" s="8">
        <v>221850</v>
      </c>
      <c r="J71" s="6"/>
    </row>
    <row r="72" spans="2:17" ht="15.6" x14ac:dyDescent="0.3">
      <c r="B72" s="8">
        <v>18</v>
      </c>
      <c r="C72" s="8" t="s">
        <v>55</v>
      </c>
      <c r="D72" s="8" t="s">
        <v>60</v>
      </c>
      <c r="E72" s="23">
        <v>16735</v>
      </c>
      <c r="F72" s="8">
        <v>79</v>
      </c>
      <c r="G72" s="8" t="s">
        <v>22</v>
      </c>
      <c r="H72" s="8" t="s">
        <v>61</v>
      </c>
      <c r="I72" s="8">
        <v>70000</v>
      </c>
      <c r="J72" s="6"/>
    </row>
    <row r="73" spans="2:17" ht="15.6" x14ac:dyDescent="0.3">
      <c r="B73" s="8">
        <v>19</v>
      </c>
      <c r="C73" s="8" t="s">
        <v>44</v>
      </c>
      <c r="D73" s="8" t="s">
        <v>62</v>
      </c>
      <c r="E73" s="23">
        <v>27359</v>
      </c>
      <c r="F73" s="8">
        <v>49</v>
      </c>
      <c r="G73" s="8" t="s">
        <v>22</v>
      </c>
      <c r="H73" s="8" t="s">
        <v>63</v>
      </c>
      <c r="I73" s="8">
        <v>65000</v>
      </c>
      <c r="J73" s="6"/>
    </row>
    <row r="74" spans="2:17" ht="15.6" x14ac:dyDescent="0.3">
      <c r="B74" s="8">
        <v>20</v>
      </c>
      <c r="C74" s="8" t="s">
        <v>56</v>
      </c>
      <c r="D74" s="8" t="s">
        <v>51</v>
      </c>
      <c r="E74" s="23">
        <v>27025</v>
      </c>
      <c r="F74" s="8">
        <v>50</v>
      </c>
      <c r="G74" s="8" t="s">
        <v>22</v>
      </c>
      <c r="H74" s="8" t="s">
        <v>63</v>
      </c>
      <c r="I74" s="8">
        <v>85000</v>
      </c>
      <c r="J74" s="6"/>
      <c r="K74" s="90" t="s">
        <v>176</v>
      </c>
      <c r="L74" s="90"/>
      <c r="M74" s="90"/>
      <c r="N74" s="90"/>
      <c r="O74" s="90"/>
      <c r="P74" s="90"/>
      <c r="Q74" s="90"/>
    </row>
    <row r="75" spans="2:17" ht="15.6" x14ac:dyDescent="0.3">
      <c r="B75" s="8">
        <v>21</v>
      </c>
      <c r="C75" s="8" t="s">
        <v>57</v>
      </c>
      <c r="D75" s="8" t="s">
        <v>64</v>
      </c>
      <c r="E75" s="23">
        <v>29386</v>
      </c>
      <c r="F75" s="8">
        <v>44</v>
      </c>
      <c r="G75" s="8" t="s">
        <v>22</v>
      </c>
      <c r="H75" s="8" t="s">
        <v>65</v>
      </c>
      <c r="I75" s="8">
        <v>77100</v>
      </c>
      <c r="J75" s="6"/>
      <c r="K75" s="91" t="s">
        <v>159</v>
      </c>
      <c r="L75" s="91"/>
      <c r="M75" s="91"/>
      <c r="N75" s="91"/>
      <c r="O75" s="91"/>
      <c r="P75" s="91"/>
      <c r="Q75" s="91"/>
    </row>
    <row r="76" spans="2:17" ht="15.6" x14ac:dyDescent="0.3">
      <c r="B76" s="8">
        <v>22</v>
      </c>
      <c r="C76" s="8" t="s">
        <v>44</v>
      </c>
      <c r="D76" s="8" t="s">
        <v>66</v>
      </c>
      <c r="E76" s="23">
        <v>28153</v>
      </c>
      <c r="F76" s="8">
        <v>47</v>
      </c>
      <c r="G76" s="8" t="s">
        <v>22</v>
      </c>
      <c r="H76" s="8" t="s">
        <v>27</v>
      </c>
      <c r="I76" s="8">
        <v>110000</v>
      </c>
      <c r="J76" s="6"/>
      <c r="K76" s="90" t="s">
        <v>177</v>
      </c>
      <c r="L76" s="90"/>
      <c r="M76" s="90"/>
      <c r="N76" s="90"/>
      <c r="O76" s="90"/>
      <c r="P76" s="90"/>
      <c r="Q76" s="90"/>
    </row>
    <row r="77" spans="2:17" ht="15.6" x14ac:dyDescent="0.3">
      <c r="B77" s="8">
        <v>23</v>
      </c>
      <c r="C77" s="8" t="s">
        <v>58</v>
      </c>
      <c r="D77" s="8" t="s">
        <v>67</v>
      </c>
      <c r="E77" s="23">
        <v>31118</v>
      </c>
      <c r="F77" s="8">
        <v>39</v>
      </c>
      <c r="G77" s="8" t="s">
        <v>22</v>
      </c>
      <c r="H77" s="8" t="s">
        <v>34</v>
      </c>
      <c r="I77" s="8">
        <v>78956</v>
      </c>
      <c r="J77" s="6"/>
    </row>
    <row r="78" spans="2:17" ht="15.6" x14ac:dyDescent="0.3">
      <c r="B78" s="8">
        <v>24</v>
      </c>
      <c r="C78" s="8" t="s">
        <v>59</v>
      </c>
      <c r="D78" s="8" t="s">
        <v>68</v>
      </c>
      <c r="E78" s="23">
        <v>32410</v>
      </c>
      <c r="F78" s="8">
        <v>36</v>
      </c>
      <c r="G78" s="8" t="s">
        <v>22</v>
      </c>
      <c r="H78" s="8" t="s">
        <v>27</v>
      </c>
      <c r="I78" s="8">
        <v>83000</v>
      </c>
      <c r="J78" s="6"/>
      <c r="K78" s="90" t="s">
        <v>179</v>
      </c>
      <c r="L78" s="90"/>
      <c r="M78" s="90"/>
      <c r="N78" s="90"/>
      <c r="O78" s="90"/>
      <c r="P78" s="90"/>
      <c r="Q78" s="90"/>
    </row>
    <row r="79" spans="2:17" ht="15.6" x14ac:dyDescent="0.3">
      <c r="B79" s="8">
        <v>25</v>
      </c>
      <c r="C79" s="8" t="s">
        <v>69</v>
      </c>
      <c r="D79" s="8" t="s">
        <v>70</v>
      </c>
      <c r="E79" s="23">
        <v>31835</v>
      </c>
      <c r="F79" s="8">
        <v>37</v>
      </c>
      <c r="G79" s="8" t="s">
        <v>15</v>
      </c>
      <c r="H79" s="8" t="s">
        <v>71</v>
      </c>
      <c r="I79" s="8">
        <v>85000</v>
      </c>
      <c r="J79" s="6"/>
    </row>
  </sheetData>
  <mergeCells count="18">
    <mergeCell ref="A1:R1"/>
    <mergeCell ref="M16:Q17"/>
    <mergeCell ref="K16:K17"/>
    <mergeCell ref="M19:Q19"/>
    <mergeCell ref="M20:Q20"/>
    <mergeCell ref="M21:Q21"/>
    <mergeCell ref="M22:Q22"/>
    <mergeCell ref="K44:Q44"/>
    <mergeCell ref="B3:E3"/>
    <mergeCell ref="G3:J3"/>
    <mergeCell ref="B19:I19"/>
    <mergeCell ref="K74:Q74"/>
    <mergeCell ref="K75:Q75"/>
    <mergeCell ref="K76:Q76"/>
    <mergeCell ref="K78:Q78"/>
    <mergeCell ref="K45:Q45"/>
    <mergeCell ref="K46:Q46"/>
    <mergeCell ref="H50:K5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4F55D-7531-43EA-9024-F9B1041708E3}">
  <sheetPr codeName="Sheet3">
    <tabColor theme="9" tint="-0.249977111117893"/>
  </sheetPr>
  <dimension ref="A1:M46"/>
  <sheetViews>
    <sheetView zoomScale="85" zoomScaleNormal="85" workbookViewId="0">
      <selection activeCell="B47" sqref="B47"/>
    </sheetView>
  </sheetViews>
  <sheetFormatPr defaultColWidth="9.109375" defaultRowHeight="15.6" x14ac:dyDescent="0.3"/>
  <cols>
    <col min="1" max="1" width="18.109375" style="6" bestFit="1" customWidth="1"/>
    <col min="2" max="10" width="20.6640625" style="6" bestFit="1" customWidth="1"/>
    <col min="11" max="11" width="19.44140625" style="6" bestFit="1" customWidth="1"/>
    <col min="12" max="12" width="17.33203125" style="6" bestFit="1" customWidth="1"/>
    <col min="13" max="13" width="22.5546875" style="6" customWidth="1"/>
    <col min="14" max="16384" width="9.109375" style="6"/>
  </cols>
  <sheetData>
    <row r="1" spans="1:13" ht="21" x14ac:dyDescent="0.3">
      <c r="A1" s="103" t="s">
        <v>165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3" spans="1:13" ht="18" customHeight="1" x14ac:dyDescent="0.3">
      <c r="A3" s="10" t="s">
        <v>72</v>
      </c>
      <c r="B3" s="14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</row>
    <row r="4" spans="1:13" ht="18" customHeight="1" x14ac:dyDescent="0.3">
      <c r="A4" s="10" t="s">
        <v>6</v>
      </c>
      <c r="B4" s="14" t="s">
        <v>13</v>
      </c>
      <c r="C4" s="8" t="s">
        <v>17</v>
      </c>
      <c r="D4" s="8" t="s">
        <v>20</v>
      </c>
      <c r="E4" s="8" t="s">
        <v>23</v>
      </c>
      <c r="F4" s="8" t="s">
        <v>25</v>
      </c>
      <c r="G4" s="8" t="s">
        <v>28</v>
      </c>
      <c r="H4" s="8" t="s">
        <v>30</v>
      </c>
      <c r="I4" s="8" t="s">
        <v>32</v>
      </c>
      <c r="J4" s="8" t="s">
        <v>35</v>
      </c>
      <c r="K4" s="8" t="s">
        <v>38</v>
      </c>
    </row>
    <row r="5" spans="1:13" ht="18" customHeight="1" x14ac:dyDescent="0.3">
      <c r="A5" s="10" t="s">
        <v>7</v>
      </c>
      <c r="B5" s="14" t="s">
        <v>14</v>
      </c>
      <c r="C5" s="8" t="s">
        <v>18</v>
      </c>
      <c r="D5" s="8" t="s">
        <v>21</v>
      </c>
      <c r="E5" s="8" t="s">
        <v>24</v>
      </c>
      <c r="F5" s="8" t="s">
        <v>26</v>
      </c>
      <c r="G5" s="8" t="s">
        <v>29</v>
      </c>
      <c r="H5" s="8" t="s">
        <v>31</v>
      </c>
      <c r="I5" s="8" t="s">
        <v>33</v>
      </c>
      <c r="J5" s="8" t="s">
        <v>36</v>
      </c>
      <c r="K5" s="8" t="s">
        <v>39</v>
      </c>
    </row>
    <row r="6" spans="1:13" ht="18" customHeight="1" x14ac:dyDescent="0.3">
      <c r="A6" s="10" t="s">
        <v>8</v>
      </c>
      <c r="B6" s="14">
        <v>33666</v>
      </c>
      <c r="C6" s="8">
        <v>33701</v>
      </c>
      <c r="D6" s="8">
        <v>32317</v>
      </c>
      <c r="E6" s="8">
        <v>27526</v>
      </c>
      <c r="F6" s="8">
        <v>29324</v>
      </c>
      <c r="G6" s="8">
        <v>20162</v>
      </c>
      <c r="H6" s="8">
        <v>23422</v>
      </c>
      <c r="I6" s="8">
        <v>23027</v>
      </c>
      <c r="J6" s="8">
        <v>24885</v>
      </c>
      <c r="K6" s="8">
        <v>22751</v>
      </c>
    </row>
    <row r="7" spans="1:13" ht="18" customHeight="1" x14ac:dyDescent="0.3">
      <c r="A7" s="10" t="s">
        <v>9</v>
      </c>
      <c r="B7" s="14">
        <f t="shared" ref="B7:K7" ca="1" si="0">DATEDIF(B6,TODAY(),"Y")</f>
        <v>34</v>
      </c>
      <c r="C7" s="8">
        <f t="shared" ca="1" si="0"/>
        <v>34</v>
      </c>
      <c r="D7" s="8">
        <f t="shared" ca="1" si="0"/>
        <v>38</v>
      </c>
      <c r="E7" s="8">
        <f t="shared" ca="1" si="0"/>
        <v>51</v>
      </c>
      <c r="F7" s="8">
        <f t="shared" ca="1" si="0"/>
        <v>46</v>
      </c>
      <c r="G7" s="8">
        <f t="shared" ca="1" si="0"/>
        <v>71</v>
      </c>
      <c r="H7" s="8">
        <f t="shared" ca="1" si="0"/>
        <v>62</v>
      </c>
      <c r="I7" s="8">
        <f t="shared" ca="1" si="0"/>
        <v>63</v>
      </c>
      <c r="J7" s="8">
        <f t="shared" ca="1" si="0"/>
        <v>58</v>
      </c>
      <c r="K7" s="8">
        <f t="shared" ca="1" si="0"/>
        <v>64</v>
      </c>
    </row>
    <row r="8" spans="1:13" ht="18" customHeight="1" x14ac:dyDescent="0.3">
      <c r="A8" s="10" t="s">
        <v>10</v>
      </c>
      <c r="B8" s="14" t="s">
        <v>15</v>
      </c>
      <c r="C8" s="8" t="s">
        <v>15</v>
      </c>
      <c r="D8" s="8" t="s">
        <v>22</v>
      </c>
      <c r="E8" s="8" t="s">
        <v>22</v>
      </c>
      <c r="F8" s="8" t="s">
        <v>22</v>
      </c>
      <c r="G8" s="8" t="s">
        <v>22</v>
      </c>
      <c r="H8" s="8" t="s">
        <v>22</v>
      </c>
      <c r="I8" s="8" t="s">
        <v>15</v>
      </c>
      <c r="J8" s="8" t="s">
        <v>22</v>
      </c>
      <c r="K8" s="8" t="s">
        <v>22</v>
      </c>
    </row>
    <row r="9" spans="1:13" ht="18" customHeight="1" x14ac:dyDescent="0.3">
      <c r="A9" s="10" t="s">
        <v>11</v>
      </c>
      <c r="B9" s="14" t="s">
        <v>16</v>
      </c>
      <c r="C9" s="8" t="s">
        <v>19</v>
      </c>
      <c r="D9" s="8" t="s">
        <v>16</v>
      </c>
      <c r="E9" s="8" t="s">
        <v>16</v>
      </c>
      <c r="F9" s="8" t="s">
        <v>27</v>
      </c>
      <c r="G9" s="8" t="s">
        <v>16</v>
      </c>
      <c r="H9" s="8" t="s">
        <v>16</v>
      </c>
      <c r="I9" s="8" t="s">
        <v>34</v>
      </c>
      <c r="J9" s="8" t="s">
        <v>37</v>
      </c>
      <c r="K9" s="8" t="s">
        <v>16</v>
      </c>
    </row>
    <row r="10" spans="1:13" ht="18" customHeight="1" x14ac:dyDescent="0.3">
      <c r="A10" s="10" t="s">
        <v>12</v>
      </c>
      <c r="B10" s="14">
        <v>95000</v>
      </c>
      <c r="C10" s="8">
        <v>64000</v>
      </c>
      <c r="D10" s="8">
        <v>75000</v>
      </c>
      <c r="E10" s="8">
        <v>71500</v>
      </c>
      <c r="F10" s="8">
        <v>62050</v>
      </c>
      <c r="G10" s="8">
        <v>80690</v>
      </c>
      <c r="H10" s="8">
        <v>66300</v>
      </c>
      <c r="I10" s="8">
        <v>89028</v>
      </c>
      <c r="J10" s="8">
        <v>78000</v>
      </c>
      <c r="K10" s="8">
        <v>65500</v>
      </c>
    </row>
    <row r="11" spans="1:13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3" ht="18" x14ac:dyDescent="0.3">
      <c r="A12" s="13"/>
      <c r="B12" s="9" t="s">
        <v>73</v>
      </c>
      <c r="C12" s="13"/>
      <c r="D12" s="13"/>
      <c r="E12" s="13"/>
      <c r="J12" s="13"/>
      <c r="K12" s="13"/>
    </row>
    <row r="13" spans="1:13" ht="18" customHeight="1" x14ac:dyDescent="0.3">
      <c r="A13" s="13"/>
      <c r="B13" s="11" t="s">
        <v>10</v>
      </c>
      <c r="C13" s="13"/>
      <c r="D13" s="13"/>
      <c r="E13" s="13"/>
      <c r="J13" s="13"/>
      <c r="K13" s="13"/>
    </row>
    <row r="14" spans="1:13" ht="18" customHeight="1" x14ac:dyDescent="0.3">
      <c r="A14" s="13"/>
      <c r="B14" s="11" t="s">
        <v>11</v>
      </c>
      <c r="C14" s="13"/>
      <c r="D14" s="13"/>
      <c r="E14" s="13"/>
      <c r="J14" s="13"/>
      <c r="K14" s="13"/>
    </row>
    <row r="15" spans="1:13" ht="18" customHeight="1" x14ac:dyDescent="0.3">
      <c r="A15" s="13"/>
      <c r="B15" s="11" t="s">
        <v>12</v>
      </c>
      <c r="C15" s="13"/>
      <c r="D15" s="13"/>
      <c r="E15" s="13"/>
      <c r="F15" s="13"/>
      <c r="G15" s="13"/>
      <c r="H15" s="13"/>
      <c r="I15" s="13"/>
      <c r="J15" s="13"/>
      <c r="K15" s="13"/>
    </row>
    <row r="17" spans="1:11" ht="18" customHeight="1" x14ac:dyDescent="0.3">
      <c r="A17" s="10" t="s">
        <v>72</v>
      </c>
      <c r="B17" s="12">
        <v>2</v>
      </c>
      <c r="C17" s="11">
        <v>9</v>
      </c>
      <c r="D17" s="11">
        <v>5</v>
      </c>
      <c r="E17" s="11">
        <v>3</v>
      </c>
      <c r="F17" s="11">
        <v>2</v>
      </c>
      <c r="G17" s="11">
        <v>6</v>
      </c>
      <c r="H17" s="11">
        <v>4</v>
      </c>
      <c r="I17" s="11">
        <v>1</v>
      </c>
      <c r="J17" s="11">
        <v>9</v>
      </c>
      <c r="K17" s="11">
        <v>8</v>
      </c>
    </row>
    <row r="18" spans="1:11" ht="18" customHeight="1" x14ac:dyDescent="0.3">
      <c r="A18" s="10" t="s">
        <v>6</v>
      </c>
      <c r="B18" s="24" t="str">
        <f>HLOOKUP(B17,$A$3:$K$10,2,FALSE)</f>
        <v>Iman Bahaa</v>
      </c>
      <c r="C18" s="24" t="str">
        <f t="shared" ref="C18:K18" si="1">HLOOKUP(C17,$A$3:$K$10,2,FALSE)</f>
        <v>Islam Gamal</v>
      </c>
      <c r="D18" s="24" t="str">
        <f t="shared" si="1"/>
        <v>Hesham Mostafa</v>
      </c>
      <c r="E18" s="24" t="str">
        <f t="shared" si="1"/>
        <v>Ahmed Mohamed</v>
      </c>
      <c r="F18" s="24" t="str">
        <f t="shared" si="1"/>
        <v>Iman Bahaa</v>
      </c>
      <c r="G18" s="24" t="str">
        <f t="shared" si="1"/>
        <v>Ibrahim Ali</v>
      </c>
      <c r="H18" s="24" t="str">
        <f t="shared" si="1"/>
        <v>Mohamed Mostafa</v>
      </c>
      <c r="I18" s="24" t="str">
        <f t="shared" si="1"/>
        <v>Mirna Tarek</v>
      </c>
      <c r="J18" s="24" t="str">
        <f t="shared" si="1"/>
        <v>Islam Gamal</v>
      </c>
      <c r="K18" s="24" t="str">
        <f t="shared" si="1"/>
        <v>Samah Fahmy</v>
      </c>
    </row>
    <row r="21" spans="1:11" ht="18" x14ac:dyDescent="0.3">
      <c r="H21" s="102" t="s">
        <v>161</v>
      </c>
      <c r="I21" s="102"/>
      <c r="J21" s="102"/>
      <c r="K21" s="102"/>
    </row>
    <row r="22" spans="1:11" ht="18" x14ac:dyDescent="0.3">
      <c r="H22" s="102" t="s">
        <v>162</v>
      </c>
      <c r="I22" s="102"/>
      <c r="J22" s="102"/>
      <c r="K22" s="102"/>
    </row>
    <row r="23" spans="1:11" ht="18" x14ac:dyDescent="0.3">
      <c r="H23" s="102" t="s">
        <v>163</v>
      </c>
      <c r="I23" s="102"/>
      <c r="J23" s="102"/>
      <c r="K23" s="102"/>
    </row>
    <row r="24" spans="1:11" ht="18" x14ac:dyDescent="0.3">
      <c r="H24" s="102" t="s">
        <v>164</v>
      </c>
      <c r="I24" s="102"/>
      <c r="J24" s="102"/>
      <c r="K24" s="102"/>
    </row>
    <row r="28" spans="1:11" ht="15.6" customHeight="1" x14ac:dyDescent="0.3">
      <c r="E28" s="92" t="s">
        <v>178</v>
      </c>
      <c r="F28" s="92"/>
      <c r="G28" s="92"/>
      <c r="H28" s="92"/>
    </row>
    <row r="29" spans="1:11" ht="15.6" customHeight="1" x14ac:dyDescent="0.3">
      <c r="E29" s="92"/>
      <c r="F29" s="92"/>
      <c r="G29" s="92"/>
      <c r="H29" s="92"/>
    </row>
    <row r="32" spans="1:11" x14ac:dyDescent="0.3">
      <c r="A32" s="10" t="s">
        <v>6</v>
      </c>
      <c r="B32" s="11" t="s">
        <v>13</v>
      </c>
      <c r="C32" s="11" t="s">
        <v>17</v>
      </c>
      <c r="D32" s="11" t="s">
        <v>20</v>
      </c>
      <c r="E32" s="11" t="s">
        <v>23</v>
      </c>
      <c r="F32" s="11" t="s">
        <v>25</v>
      </c>
      <c r="G32" s="11" t="s">
        <v>28</v>
      </c>
      <c r="H32" s="11" t="s">
        <v>30</v>
      </c>
      <c r="I32" s="11" t="s">
        <v>32</v>
      </c>
      <c r="J32" s="11" t="s">
        <v>35</v>
      </c>
      <c r="K32" s="11" t="s">
        <v>38</v>
      </c>
    </row>
    <row r="33" spans="1:11" x14ac:dyDescent="0.3">
      <c r="A33" s="10" t="s">
        <v>7</v>
      </c>
      <c r="B33" s="14" t="s">
        <v>14</v>
      </c>
      <c r="C33" s="8" t="s">
        <v>18</v>
      </c>
      <c r="D33" s="8" t="s">
        <v>21</v>
      </c>
      <c r="E33" s="8" t="s">
        <v>24</v>
      </c>
      <c r="F33" s="8" t="s">
        <v>26</v>
      </c>
      <c r="G33" s="8" t="s">
        <v>29</v>
      </c>
      <c r="H33" s="8" t="s">
        <v>31</v>
      </c>
      <c r="I33" s="8" t="s">
        <v>33</v>
      </c>
      <c r="J33" s="8" t="s">
        <v>36</v>
      </c>
      <c r="K33" s="8" t="s">
        <v>39</v>
      </c>
    </row>
    <row r="34" spans="1:11" x14ac:dyDescent="0.3">
      <c r="A34" s="10" t="s">
        <v>8</v>
      </c>
      <c r="B34" s="14">
        <v>33666</v>
      </c>
      <c r="C34" s="8">
        <v>33701</v>
      </c>
      <c r="D34" s="8">
        <v>32317</v>
      </c>
      <c r="E34" s="8">
        <v>27526</v>
      </c>
      <c r="F34" s="8">
        <v>29324</v>
      </c>
      <c r="G34" s="8">
        <v>20162</v>
      </c>
      <c r="H34" s="8">
        <v>23422</v>
      </c>
      <c r="I34" s="8">
        <v>23027</v>
      </c>
      <c r="J34" s="8">
        <v>24885</v>
      </c>
      <c r="K34" s="8">
        <v>22751</v>
      </c>
    </row>
    <row r="35" spans="1:11" x14ac:dyDescent="0.3">
      <c r="A35" s="10" t="s">
        <v>9</v>
      </c>
      <c r="B35" s="14">
        <f t="shared" ref="B35:K35" ca="1" si="2">DATEDIF(B34,TODAY(),"Y")</f>
        <v>34</v>
      </c>
      <c r="C35" s="8">
        <f t="shared" ca="1" si="2"/>
        <v>34</v>
      </c>
      <c r="D35" s="8">
        <f t="shared" ca="1" si="2"/>
        <v>38</v>
      </c>
      <c r="E35" s="8">
        <f t="shared" ca="1" si="2"/>
        <v>51</v>
      </c>
      <c r="F35" s="8">
        <f t="shared" ca="1" si="2"/>
        <v>46</v>
      </c>
      <c r="G35" s="8">
        <f t="shared" ca="1" si="2"/>
        <v>71</v>
      </c>
      <c r="H35" s="8">
        <f t="shared" ca="1" si="2"/>
        <v>62</v>
      </c>
      <c r="I35" s="8">
        <f t="shared" ca="1" si="2"/>
        <v>63</v>
      </c>
      <c r="J35" s="8">
        <f t="shared" ca="1" si="2"/>
        <v>58</v>
      </c>
      <c r="K35" s="8">
        <f t="shared" ca="1" si="2"/>
        <v>64</v>
      </c>
    </row>
    <row r="36" spans="1:11" x14ac:dyDescent="0.3">
      <c r="A36" s="10" t="s">
        <v>10</v>
      </c>
      <c r="B36" s="14" t="s">
        <v>15</v>
      </c>
      <c r="C36" s="8" t="s">
        <v>15</v>
      </c>
      <c r="D36" s="8" t="s">
        <v>22</v>
      </c>
      <c r="E36" s="8" t="s">
        <v>22</v>
      </c>
      <c r="F36" s="8" t="s">
        <v>22</v>
      </c>
      <c r="G36" s="8" t="s">
        <v>22</v>
      </c>
      <c r="H36" s="8" t="s">
        <v>22</v>
      </c>
      <c r="I36" s="8" t="s">
        <v>15</v>
      </c>
      <c r="J36" s="8" t="s">
        <v>22</v>
      </c>
      <c r="K36" s="8" t="s">
        <v>22</v>
      </c>
    </row>
    <row r="37" spans="1:11" x14ac:dyDescent="0.3">
      <c r="A37" s="10" t="s">
        <v>11</v>
      </c>
      <c r="B37" s="14" t="s">
        <v>16</v>
      </c>
      <c r="C37" s="8" t="s">
        <v>19</v>
      </c>
      <c r="D37" s="8" t="s">
        <v>16</v>
      </c>
      <c r="E37" s="8" t="s">
        <v>16</v>
      </c>
      <c r="F37" s="8" t="s">
        <v>27</v>
      </c>
      <c r="G37" s="8" t="s">
        <v>16</v>
      </c>
      <c r="H37" s="8" t="s">
        <v>16</v>
      </c>
      <c r="I37" s="8" t="s">
        <v>34</v>
      </c>
      <c r="J37" s="8" t="s">
        <v>37</v>
      </c>
      <c r="K37" s="8" t="s">
        <v>16</v>
      </c>
    </row>
    <row r="38" spans="1:11" x14ac:dyDescent="0.3">
      <c r="A38" s="10" t="s">
        <v>12</v>
      </c>
      <c r="B38" s="14">
        <v>95000</v>
      </c>
      <c r="C38" s="8">
        <v>64000</v>
      </c>
      <c r="D38" s="8">
        <v>75000</v>
      </c>
      <c r="E38" s="8">
        <v>71500</v>
      </c>
      <c r="F38" s="8">
        <v>62050</v>
      </c>
      <c r="G38" s="8">
        <v>80690</v>
      </c>
      <c r="H38" s="8">
        <v>66300</v>
      </c>
      <c r="I38" s="8">
        <v>89028</v>
      </c>
      <c r="J38" s="8">
        <v>78000</v>
      </c>
      <c r="K38" s="8">
        <v>65500</v>
      </c>
    </row>
    <row r="39" spans="1:11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1:11" ht="18" x14ac:dyDescent="0.3">
      <c r="A40" s="13"/>
      <c r="B40" s="9" t="s">
        <v>73</v>
      </c>
      <c r="C40" s="13"/>
      <c r="D40" s="13"/>
      <c r="E40" s="13"/>
      <c r="J40" s="13"/>
      <c r="K40" s="13"/>
    </row>
    <row r="41" spans="1:11" x14ac:dyDescent="0.3">
      <c r="A41" s="13"/>
      <c r="B41" s="10" t="s">
        <v>6</v>
      </c>
      <c r="C41" s="13"/>
      <c r="D41" s="13"/>
      <c r="E41" s="13"/>
      <c r="J41" s="13"/>
      <c r="K41" s="13"/>
    </row>
    <row r="42" spans="1:11" x14ac:dyDescent="0.3">
      <c r="A42" s="13"/>
      <c r="B42" s="11" t="s">
        <v>11</v>
      </c>
      <c r="C42" s="13"/>
      <c r="D42" s="13"/>
      <c r="E42" s="13"/>
      <c r="J42" s="13"/>
      <c r="K42" s="13"/>
    </row>
    <row r="43" spans="1:11" x14ac:dyDescent="0.3">
      <c r="A43" s="13"/>
      <c r="B43" s="10" t="s">
        <v>10</v>
      </c>
      <c r="C43" s="13"/>
      <c r="D43" s="13"/>
      <c r="E43" s="13"/>
      <c r="F43" s="13"/>
      <c r="G43" s="13"/>
      <c r="H43" s="13"/>
      <c r="I43" s="13"/>
      <c r="J43" s="13"/>
      <c r="K43" s="13"/>
    </row>
    <row r="45" spans="1:11" x14ac:dyDescent="0.3">
      <c r="A45" s="10" t="s">
        <v>6</v>
      </c>
      <c r="B45" s="12" t="s">
        <v>13</v>
      </c>
      <c r="C45" s="11" t="s">
        <v>17</v>
      </c>
      <c r="D45" s="11" t="s">
        <v>20</v>
      </c>
      <c r="E45" s="11" t="s">
        <v>23</v>
      </c>
      <c r="F45" s="11" t="s">
        <v>25</v>
      </c>
      <c r="G45" s="11" t="s">
        <v>28</v>
      </c>
      <c r="H45" s="11" t="s">
        <v>30</v>
      </c>
      <c r="I45" s="11" t="s">
        <v>32</v>
      </c>
      <c r="J45" s="11" t="s">
        <v>35</v>
      </c>
      <c r="K45" s="11" t="s">
        <v>38</v>
      </c>
    </row>
    <row r="46" spans="1:11" x14ac:dyDescent="0.3">
      <c r="A46" s="10" t="s">
        <v>11</v>
      </c>
      <c r="B46" s="24" t="str">
        <f>HLOOKUP(B45,$A$32:$K$38,6,FALSE)</f>
        <v>Trading</v>
      </c>
      <c r="C46" s="24" t="str">
        <f t="shared" ref="C46:K46" si="3">HLOOKUP(C45,$A$32:$K$38,6,FALSE)</f>
        <v>Oil &amp; Gas</v>
      </c>
      <c r="D46" s="24" t="str">
        <f t="shared" si="3"/>
        <v>Trading</v>
      </c>
      <c r="E46" s="24" t="str">
        <f t="shared" si="3"/>
        <v>Trading</v>
      </c>
      <c r="F46" s="24" t="str">
        <f t="shared" si="3"/>
        <v>Manufacturing</v>
      </c>
      <c r="G46" s="24" t="str">
        <f t="shared" si="3"/>
        <v>Trading</v>
      </c>
      <c r="H46" s="24" t="str">
        <f t="shared" si="3"/>
        <v>Trading</v>
      </c>
      <c r="I46" s="24" t="str">
        <f t="shared" si="3"/>
        <v>Telecomunication</v>
      </c>
      <c r="J46" s="24" t="str">
        <f t="shared" si="3"/>
        <v>Banking</v>
      </c>
      <c r="K46" s="24" t="str">
        <f t="shared" si="3"/>
        <v>Trading</v>
      </c>
    </row>
  </sheetData>
  <sortState xmlns:xlrd2="http://schemas.microsoft.com/office/spreadsheetml/2017/richdata2" ref="H23:H30">
    <sortCondition ref="H22"/>
  </sortState>
  <mergeCells count="6">
    <mergeCell ref="E28:H29"/>
    <mergeCell ref="H23:K23"/>
    <mergeCell ref="H24:K24"/>
    <mergeCell ref="A1:M1"/>
    <mergeCell ref="H21:K21"/>
    <mergeCell ref="H22:K2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F3EE-9A45-4145-A6F0-45F6A1197C6F}">
  <sheetPr>
    <tabColor theme="9" tint="-0.249977111117893"/>
  </sheetPr>
  <dimension ref="A1:S72"/>
  <sheetViews>
    <sheetView topLeftCell="C1" zoomScale="91" zoomScaleNormal="91" workbookViewId="0">
      <selection activeCell="H5" sqref="H5"/>
    </sheetView>
  </sheetViews>
  <sheetFormatPr defaultColWidth="9.109375" defaultRowHeight="15.6" x14ac:dyDescent="0.3"/>
  <cols>
    <col min="1" max="2" width="20" style="6" customWidth="1"/>
    <col min="3" max="3" width="15" style="6" bestFit="1" customWidth="1"/>
    <col min="4" max="4" width="6.5546875" style="6" bestFit="1" customWidth="1"/>
    <col min="5" max="5" width="5.44140625" style="6" bestFit="1" customWidth="1"/>
    <col min="6" max="6" width="12.44140625" style="6" customWidth="1"/>
    <col min="7" max="7" width="17.5546875" style="6" customWidth="1"/>
    <col min="8" max="8" width="16.5546875" style="6" customWidth="1"/>
    <col min="9" max="9" width="5" style="6" customWidth="1"/>
    <col min="10" max="10" width="19" style="6" bestFit="1" customWidth="1"/>
    <col min="11" max="11" width="16.6640625" style="6" customWidth="1"/>
    <col min="12" max="12" width="10.44140625" style="6" customWidth="1"/>
    <col min="13" max="13" width="11.21875" style="6" customWidth="1"/>
    <col min="14" max="14" width="11.44140625" style="6" customWidth="1"/>
    <col min="15" max="15" width="10.6640625" style="6" customWidth="1"/>
    <col min="16" max="16" width="9.109375" style="6"/>
    <col min="17" max="17" width="11.109375" style="6" customWidth="1"/>
    <col min="18" max="18" width="25" style="6" customWidth="1"/>
    <col min="19" max="16384" width="9.109375" style="6"/>
  </cols>
  <sheetData>
    <row r="1" spans="1:19" ht="21" x14ac:dyDescent="0.3">
      <c r="A1" s="79" t="s">
        <v>204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</row>
    <row r="3" spans="1:19" ht="18" x14ac:dyDescent="0.3">
      <c r="A3" s="27" t="s">
        <v>6</v>
      </c>
      <c r="B3" s="27" t="s">
        <v>7</v>
      </c>
      <c r="C3" s="27" t="s">
        <v>8</v>
      </c>
      <c r="D3" s="27" t="s">
        <v>72</v>
      </c>
      <c r="E3" s="27" t="s">
        <v>9</v>
      </c>
      <c r="F3" s="27" t="s">
        <v>10</v>
      </c>
      <c r="G3" s="27" t="s">
        <v>11</v>
      </c>
      <c r="H3" s="27" t="s">
        <v>12</v>
      </c>
      <c r="J3" s="81" t="s">
        <v>166</v>
      </c>
      <c r="K3" s="81"/>
      <c r="L3" s="81"/>
      <c r="M3" s="81"/>
      <c r="N3" s="81"/>
      <c r="O3" s="81"/>
      <c r="P3" s="81"/>
      <c r="Q3" s="81"/>
      <c r="R3" s="81"/>
    </row>
    <row r="4" spans="1:19" x14ac:dyDescent="0.3">
      <c r="A4" s="8" t="s">
        <v>13</v>
      </c>
      <c r="B4" s="8" t="s">
        <v>14</v>
      </c>
      <c r="C4" s="23">
        <v>33666</v>
      </c>
      <c r="D4" s="8">
        <v>1</v>
      </c>
      <c r="E4" s="8">
        <f t="shared" ref="E4:E18" ca="1" si="0">DATEDIF(C4,TODAY(),"Y")</f>
        <v>34</v>
      </c>
      <c r="F4" s="8" t="s">
        <v>15</v>
      </c>
      <c r="G4" s="8" t="s">
        <v>16</v>
      </c>
      <c r="H4" s="8">
        <v>95000</v>
      </c>
    </row>
    <row r="5" spans="1:19" ht="18" x14ac:dyDescent="0.3">
      <c r="A5" s="8" t="s">
        <v>17</v>
      </c>
      <c r="B5" s="8" t="s">
        <v>18</v>
      </c>
      <c r="C5" s="23">
        <v>33701</v>
      </c>
      <c r="D5" s="8">
        <v>2</v>
      </c>
      <c r="E5" s="8">
        <f t="shared" ca="1" si="0"/>
        <v>34</v>
      </c>
      <c r="F5" s="8" t="s">
        <v>15</v>
      </c>
      <c r="G5" s="8" t="s">
        <v>19</v>
      </c>
      <c r="H5" s="8">
        <v>64000</v>
      </c>
      <c r="J5" s="80" t="s">
        <v>167</v>
      </c>
      <c r="K5" s="80"/>
      <c r="L5" s="80"/>
      <c r="M5" s="80"/>
      <c r="N5" s="80"/>
      <c r="O5" s="80"/>
      <c r="P5" s="80"/>
      <c r="Q5" s="80"/>
      <c r="R5" s="80"/>
    </row>
    <row r="6" spans="1:19" x14ac:dyDescent="0.3">
      <c r="A6" s="8" t="s">
        <v>20</v>
      </c>
      <c r="B6" s="8" t="s">
        <v>21</v>
      </c>
      <c r="C6" s="23">
        <v>32317</v>
      </c>
      <c r="D6" s="8">
        <v>3</v>
      </c>
      <c r="E6" s="8">
        <f t="shared" ca="1" si="0"/>
        <v>38</v>
      </c>
      <c r="F6" s="8" t="s">
        <v>22</v>
      </c>
      <c r="G6" s="8" t="s">
        <v>16</v>
      </c>
      <c r="H6" s="8">
        <v>75000</v>
      </c>
    </row>
    <row r="7" spans="1:19" x14ac:dyDescent="0.3">
      <c r="A7" s="8" t="s">
        <v>23</v>
      </c>
      <c r="B7" s="8" t="s">
        <v>24</v>
      </c>
      <c r="C7" s="23">
        <v>27526</v>
      </c>
      <c r="D7" s="8">
        <v>4</v>
      </c>
      <c r="E7" s="8">
        <f t="shared" ca="1" si="0"/>
        <v>51</v>
      </c>
      <c r="F7" s="8" t="s">
        <v>22</v>
      </c>
      <c r="G7" s="8" t="s">
        <v>16</v>
      </c>
      <c r="H7" s="8">
        <v>71500</v>
      </c>
      <c r="J7" s="65" t="s">
        <v>168</v>
      </c>
      <c r="L7" s="73" t="s">
        <v>180</v>
      </c>
      <c r="M7" s="74"/>
      <c r="N7" s="74"/>
      <c r="O7" s="74"/>
      <c r="P7" s="74"/>
      <c r="Q7" s="74"/>
      <c r="R7" s="74"/>
    </row>
    <row r="8" spans="1:19" x14ac:dyDescent="0.3">
      <c r="A8" s="8" t="s">
        <v>25</v>
      </c>
      <c r="B8" s="8" t="s">
        <v>26</v>
      </c>
      <c r="C8" s="23">
        <v>29324</v>
      </c>
      <c r="D8" s="8">
        <v>5</v>
      </c>
      <c r="E8" s="8">
        <f t="shared" ca="1" si="0"/>
        <v>46</v>
      </c>
      <c r="F8" s="8" t="s">
        <v>22</v>
      </c>
      <c r="G8" s="8" t="s">
        <v>27</v>
      </c>
      <c r="H8" s="8">
        <v>62050</v>
      </c>
    </row>
    <row r="9" spans="1:19" x14ac:dyDescent="0.3">
      <c r="A9" s="8" t="s">
        <v>28</v>
      </c>
      <c r="B9" s="8" t="s">
        <v>29</v>
      </c>
      <c r="C9" s="23">
        <v>20162</v>
      </c>
      <c r="D9" s="8">
        <v>6</v>
      </c>
      <c r="E9" s="8">
        <f t="shared" ca="1" si="0"/>
        <v>71</v>
      </c>
      <c r="F9" s="8" t="s">
        <v>22</v>
      </c>
      <c r="G9" s="8" t="s">
        <v>16</v>
      </c>
      <c r="H9" s="8">
        <v>80690</v>
      </c>
      <c r="J9" s="65" t="s">
        <v>169</v>
      </c>
      <c r="L9" s="74" t="s">
        <v>184</v>
      </c>
      <c r="M9" s="74"/>
      <c r="N9" s="74"/>
      <c r="O9" s="74"/>
      <c r="P9" s="74"/>
      <c r="Q9" s="74"/>
      <c r="R9" s="74"/>
    </row>
    <row r="10" spans="1:19" x14ac:dyDescent="0.3">
      <c r="A10" s="8" t="s">
        <v>30</v>
      </c>
      <c r="B10" s="8" t="s">
        <v>31</v>
      </c>
      <c r="C10" s="23">
        <v>23422</v>
      </c>
      <c r="D10" s="8">
        <v>7</v>
      </c>
      <c r="E10" s="8">
        <f t="shared" ca="1" si="0"/>
        <v>62</v>
      </c>
      <c r="F10" s="8" t="s">
        <v>22</v>
      </c>
      <c r="G10" s="8" t="s">
        <v>16</v>
      </c>
      <c r="H10" s="8">
        <v>66300</v>
      </c>
    </row>
    <row r="11" spans="1:19" x14ac:dyDescent="0.3">
      <c r="A11" s="8" t="s">
        <v>32</v>
      </c>
      <c r="B11" s="8" t="s">
        <v>33</v>
      </c>
      <c r="C11" s="23">
        <v>23027</v>
      </c>
      <c r="D11" s="8">
        <v>8</v>
      </c>
      <c r="E11" s="8">
        <f t="shared" ca="1" si="0"/>
        <v>63</v>
      </c>
      <c r="F11" s="8" t="s">
        <v>15</v>
      </c>
      <c r="G11" s="8" t="s">
        <v>34</v>
      </c>
      <c r="H11" s="8">
        <v>89028</v>
      </c>
      <c r="J11" s="65" t="s">
        <v>170</v>
      </c>
      <c r="L11" s="73" t="s">
        <v>185</v>
      </c>
      <c r="M11" s="74"/>
      <c r="N11" s="74"/>
      <c r="O11" s="74"/>
      <c r="P11" s="74"/>
      <c r="Q11" s="74"/>
      <c r="R11" s="74"/>
    </row>
    <row r="12" spans="1:19" x14ac:dyDescent="0.3">
      <c r="A12" s="8" t="s">
        <v>35</v>
      </c>
      <c r="B12" s="8" t="s">
        <v>36</v>
      </c>
      <c r="C12" s="23">
        <v>24885</v>
      </c>
      <c r="D12" s="8">
        <v>9</v>
      </c>
      <c r="E12" s="8">
        <f t="shared" ca="1" si="0"/>
        <v>58</v>
      </c>
      <c r="F12" s="8" t="s">
        <v>22</v>
      </c>
      <c r="G12" s="8" t="s">
        <v>37</v>
      </c>
      <c r="H12" s="8">
        <v>78000</v>
      </c>
    </row>
    <row r="13" spans="1:19" x14ac:dyDescent="0.3">
      <c r="A13" s="8" t="s">
        <v>38</v>
      </c>
      <c r="B13" s="8" t="s">
        <v>39</v>
      </c>
      <c r="C13" s="23">
        <v>22751</v>
      </c>
      <c r="D13" s="8">
        <v>10</v>
      </c>
      <c r="E13" s="8">
        <f t="shared" ca="1" si="0"/>
        <v>64</v>
      </c>
      <c r="F13" s="8" t="s">
        <v>22</v>
      </c>
      <c r="G13" s="8" t="s">
        <v>16</v>
      </c>
      <c r="H13" s="8">
        <v>65500</v>
      </c>
      <c r="J13" s="65" t="s">
        <v>171</v>
      </c>
      <c r="L13" s="73" t="s">
        <v>181</v>
      </c>
      <c r="M13" s="74"/>
      <c r="N13" s="74"/>
      <c r="O13" s="74"/>
      <c r="P13" s="74"/>
      <c r="Q13" s="74"/>
      <c r="R13" s="74"/>
    </row>
    <row r="14" spans="1:19" x14ac:dyDescent="0.3">
      <c r="A14" s="8" t="s">
        <v>40</v>
      </c>
      <c r="B14" s="8" t="s">
        <v>41</v>
      </c>
      <c r="C14" s="23">
        <v>24549</v>
      </c>
      <c r="D14" s="8">
        <v>11</v>
      </c>
      <c r="E14" s="8">
        <f t="shared" ca="1" si="0"/>
        <v>59</v>
      </c>
      <c r="F14" s="8" t="s">
        <v>22</v>
      </c>
      <c r="G14" s="8" t="s">
        <v>37</v>
      </c>
      <c r="H14" s="8">
        <v>78000</v>
      </c>
    </row>
    <row r="15" spans="1:19" x14ac:dyDescent="0.3">
      <c r="A15" s="8" t="s">
        <v>42</v>
      </c>
      <c r="B15" s="8" t="s">
        <v>43</v>
      </c>
      <c r="C15" s="23">
        <v>26408</v>
      </c>
      <c r="D15" s="8">
        <v>12</v>
      </c>
      <c r="E15" s="8">
        <f t="shared" ca="1" si="0"/>
        <v>54</v>
      </c>
      <c r="F15" s="8" t="s">
        <v>22</v>
      </c>
      <c r="G15" s="8" t="s">
        <v>19</v>
      </c>
      <c r="H15" s="8">
        <v>92004</v>
      </c>
      <c r="J15" s="65" t="s">
        <v>172</v>
      </c>
      <c r="L15" s="73" t="s">
        <v>182</v>
      </c>
      <c r="M15" s="74"/>
      <c r="N15" s="74"/>
      <c r="O15" s="74"/>
      <c r="P15" s="74"/>
      <c r="Q15" s="74"/>
      <c r="R15" s="74"/>
    </row>
    <row r="16" spans="1:19" x14ac:dyDescent="0.3">
      <c r="A16" s="8" t="s">
        <v>44</v>
      </c>
      <c r="B16" s="8" t="s">
        <v>45</v>
      </c>
      <c r="C16" s="23">
        <v>29726</v>
      </c>
      <c r="D16" s="8">
        <v>13</v>
      </c>
      <c r="E16" s="8">
        <f t="shared" ca="1" si="0"/>
        <v>45</v>
      </c>
      <c r="F16" s="8" t="s">
        <v>15</v>
      </c>
      <c r="G16" s="8" t="s">
        <v>46</v>
      </c>
      <c r="H16" s="8">
        <v>97000</v>
      </c>
    </row>
    <row r="17" spans="1:18" x14ac:dyDescent="0.3">
      <c r="A17" s="8" t="s">
        <v>47</v>
      </c>
      <c r="B17" s="8" t="s">
        <v>48</v>
      </c>
      <c r="C17" s="23">
        <v>23914</v>
      </c>
      <c r="D17" s="8">
        <v>14</v>
      </c>
      <c r="E17" s="8">
        <f t="shared" ca="1" si="0"/>
        <v>61</v>
      </c>
      <c r="F17" s="8" t="s">
        <v>22</v>
      </c>
      <c r="G17" s="8" t="s">
        <v>37</v>
      </c>
      <c r="H17" s="8">
        <v>120000</v>
      </c>
      <c r="J17" s="65" t="s">
        <v>173</v>
      </c>
      <c r="L17" s="73" t="s">
        <v>183</v>
      </c>
      <c r="M17" s="74"/>
      <c r="N17" s="74"/>
      <c r="O17" s="74"/>
      <c r="P17" s="74"/>
      <c r="Q17" s="74"/>
      <c r="R17" s="74"/>
    </row>
    <row r="18" spans="1:18" x14ac:dyDescent="0.3">
      <c r="A18" s="8" t="s">
        <v>49</v>
      </c>
      <c r="B18" s="8" t="s">
        <v>50</v>
      </c>
      <c r="C18" s="23">
        <v>27597</v>
      </c>
      <c r="D18" s="8">
        <v>15</v>
      </c>
      <c r="E18" s="8">
        <f t="shared" ca="1" si="0"/>
        <v>51</v>
      </c>
      <c r="F18" s="8" t="s">
        <v>22</v>
      </c>
      <c r="G18" s="8" t="s">
        <v>46</v>
      </c>
      <c r="H18" s="8">
        <v>128000</v>
      </c>
    </row>
    <row r="19" spans="1:18" x14ac:dyDescent="0.3">
      <c r="A19" s="8" t="s">
        <v>51</v>
      </c>
      <c r="B19" s="8" t="s">
        <v>52</v>
      </c>
      <c r="C19" s="23">
        <v>31282</v>
      </c>
      <c r="D19" s="8">
        <v>16</v>
      </c>
      <c r="E19" s="8">
        <v>39</v>
      </c>
      <c r="F19" s="8" t="s">
        <v>15</v>
      </c>
      <c r="G19" s="8" t="s">
        <v>27</v>
      </c>
      <c r="H19" s="8">
        <v>131000</v>
      </c>
    </row>
    <row r="20" spans="1:18" ht="18.600000000000001" thickBot="1" x14ac:dyDescent="0.35">
      <c r="A20" s="8" t="s">
        <v>53</v>
      </c>
      <c r="B20" s="8" t="s">
        <v>54</v>
      </c>
      <c r="C20" s="23">
        <v>29488</v>
      </c>
      <c r="D20" s="8">
        <v>17</v>
      </c>
      <c r="E20" s="8">
        <v>44</v>
      </c>
      <c r="F20" s="8" t="s">
        <v>22</v>
      </c>
      <c r="G20" s="8" t="s">
        <v>16</v>
      </c>
      <c r="H20" s="8">
        <v>221850</v>
      </c>
      <c r="J20" s="75" t="s">
        <v>73</v>
      </c>
      <c r="K20" s="76"/>
      <c r="L20" s="76"/>
    </row>
    <row r="21" spans="1:18" ht="18.600000000000001" thickBot="1" x14ac:dyDescent="0.35">
      <c r="A21" s="8" t="s">
        <v>55</v>
      </c>
      <c r="B21" s="8" t="s">
        <v>60</v>
      </c>
      <c r="C21" s="23">
        <v>16735</v>
      </c>
      <c r="D21" s="8">
        <v>18</v>
      </c>
      <c r="E21" s="8">
        <v>79</v>
      </c>
      <c r="F21" s="8" t="s">
        <v>22</v>
      </c>
      <c r="G21" s="8" t="s">
        <v>61</v>
      </c>
      <c r="H21" s="8">
        <v>70000</v>
      </c>
      <c r="J21" s="5" t="s">
        <v>72</v>
      </c>
      <c r="K21" s="5" t="s">
        <v>6</v>
      </c>
      <c r="L21" s="9" t="s">
        <v>73</v>
      </c>
    </row>
    <row r="22" spans="1:18" x14ac:dyDescent="0.3">
      <c r="A22" s="8" t="s">
        <v>44</v>
      </c>
      <c r="B22" s="8" t="s">
        <v>62</v>
      </c>
      <c r="C22" s="23">
        <v>27359</v>
      </c>
      <c r="D22" s="8">
        <v>19</v>
      </c>
      <c r="E22" s="8">
        <v>49</v>
      </c>
      <c r="F22" s="8" t="s">
        <v>22</v>
      </c>
      <c r="G22" s="8" t="s">
        <v>63</v>
      </c>
      <c r="H22" s="8">
        <v>65000</v>
      </c>
      <c r="J22" s="12">
        <v>15</v>
      </c>
      <c r="K22" s="26" t="str">
        <f>_xlfn.XLOOKUP(J22,$D$3:$D$28,$A$3:$A$28,"مش موجود",0,1)</f>
        <v>Sayed Gohar</v>
      </c>
      <c r="L22" s="11" t="s">
        <v>10</v>
      </c>
    </row>
    <row r="23" spans="1:18" x14ac:dyDescent="0.3">
      <c r="A23" s="8" t="s">
        <v>56</v>
      </c>
      <c r="B23" s="8" t="s">
        <v>51</v>
      </c>
      <c r="C23" s="23">
        <v>27025</v>
      </c>
      <c r="D23" s="8">
        <v>20</v>
      </c>
      <c r="E23" s="8">
        <v>50</v>
      </c>
      <c r="F23" s="8" t="s">
        <v>22</v>
      </c>
      <c r="G23" s="8" t="s">
        <v>63</v>
      </c>
      <c r="H23" s="8">
        <v>85000</v>
      </c>
      <c r="J23" s="11">
        <v>10</v>
      </c>
      <c r="K23" s="26" t="str">
        <f t="shared" ref="K23:K27" si="1">_xlfn.XLOOKUP(J23,$D$3:$D$28,$A$3:$A$28,"مش موجود",0,1)</f>
        <v>Yousef Amr</v>
      </c>
      <c r="L23" s="11" t="s">
        <v>11</v>
      </c>
    </row>
    <row r="24" spans="1:18" x14ac:dyDescent="0.3">
      <c r="A24" s="8" t="s">
        <v>57</v>
      </c>
      <c r="B24" s="8" t="s">
        <v>64</v>
      </c>
      <c r="C24" s="23">
        <v>29386</v>
      </c>
      <c r="D24" s="8">
        <v>21</v>
      </c>
      <c r="E24" s="8">
        <v>44</v>
      </c>
      <c r="F24" s="8" t="s">
        <v>22</v>
      </c>
      <c r="G24" s="8" t="s">
        <v>65</v>
      </c>
      <c r="H24" s="8">
        <v>77100</v>
      </c>
      <c r="J24" s="11">
        <v>7</v>
      </c>
      <c r="K24" s="26" t="str">
        <f t="shared" si="1"/>
        <v>Bakr Elmallwany</v>
      </c>
    </row>
    <row r="25" spans="1:18" x14ac:dyDescent="0.3">
      <c r="A25" s="8" t="s">
        <v>44</v>
      </c>
      <c r="B25" s="8" t="s">
        <v>66</v>
      </c>
      <c r="C25" s="23">
        <v>28153</v>
      </c>
      <c r="D25" s="8">
        <v>22</v>
      </c>
      <c r="E25" s="8">
        <v>47</v>
      </c>
      <c r="F25" s="8" t="s">
        <v>22</v>
      </c>
      <c r="G25" s="8" t="s">
        <v>27</v>
      </c>
      <c r="H25" s="8">
        <v>110000</v>
      </c>
      <c r="J25" s="11">
        <v>11</v>
      </c>
      <c r="K25" s="26" t="str">
        <f t="shared" si="1"/>
        <v>Omar Mohamed</v>
      </c>
    </row>
    <row r="26" spans="1:18" x14ac:dyDescent="0.3">
      <c r="A26" s="8" t="s">
        <v>58</v>
      </c>
      <c r="B26" s="8" t="s">
        <v>67</v>
      </c>
      <c r="C26" s="23">
        <v>31118</v>
      </c>
      <c r="D26" s="8">
        <v>23</v>
      </c>
      <c r="E26" s="8">
        <v>39</v>
      </c>
      <c r="F26" s="8" t="s">
        <v>22</v>
      </c>
      <c r="G26" s="8" t="s">
        <v>34</v>
      </c>
      <c r="H26" s="8">
        <v>78956</v>
      </c>
      <c r="J26" s="11">
        <v>5</v>
      </c>
      <c r="K26" s="26" t="str">
        <f t="shared" si="1"/>
        <v>Hesham Mostafa</v>
      </c>
    </row>
    <row r="27" spans="1:18" x14ac:dyDescent="0.3">
      <c r="A27" s="8" t="s">
        <v>59</v>
      </c>
      <c r="B27" s="8" t="s">
        <v>68</v>
      </c>
      <c r="C27" s="23">
        <v>32410</v>
      </c>
      <c r="D27" s="8">
        <v>24</v>
      </c>
      <c r="E27" s="8">
        <v>36</v>
      </c>
      <c r="F27" s="8" t="s">
        <v>22</v>
      </c>
      <c r="G27" s="8" t="s">
        <v>27</v>
      </c>
      <c r="H27" s="8">
        <v>83000</v>
      </c>
      <c r="J27" s="11">
        <v>265</v>
      </c>
      <c r="K27" s="26" t="str">
        <f t="shared" si="1"/>
        <v>مش موجود</v>
      </c>
    </row>
    <row r="28" spans="1:18" x14ac:dyDescent="0.3">
      <c r="A28" s="8" t="s">
        <v>69</v>
      </c>
      <c r="B28" s="8" t="s">
        <v>70</v>
      </c>
      <c r="C28" s="23">
        <v>31835</v>
      </c>
      <c r="D28" s="8">
        <v>25</v>
      </c>
      <c r="E28" s="8">
        <v>37</v>
      </c>
      <c r="F28" s="8" t="s">
        <v>15</v>
      </c>
      <c r="G28" s="8" t="s">
        <v>71</v>
      </c>
      <c r="H28" s="8">
        <v>85000</v>
      </c>
    </row>
    <row r="33" spans="1:18" ht="23.4" x14ac:dyDescent="0.3">
      <c r="H33" s="86" t="s">
        <v>186</v>
      </c>
      <c r="I33" s="86"/>
      <c r="J33" s="86"/>
      <c r="K33" s="86"/>
    </row>
    <row r="35" spans="1:18" ht="18" x14ac:dyDescent="0.3">
      <c r="A35" s="27" t="s">
        <v>6</v>
      </c>
      <c r="B35" s="27" t="s">
        <v>7</v>
      </c>
      <c r="C35" s="27" t="s">
        <v>8</v>
      </c>
      <c r="D35" s="27" t="s">
        <v>72</v>
      </c>
      <c r="E35" s="27" t="s">
        <v>9</v>
      </c>
      <c r="F35" s="27" t="s">
        <v>10</v>
      </c>
      <c r="G35" s="27" t="s">
        <v>11</v>
      </c>
      <c r="H35" s="27" t="s">
        <v>12</v>
      </c>
      <c r="J35" s="81" t="s">
        <v>166</v>
      </c>
      <c r="K35" s="81"/>
      <c r="L35" s="81"/>
      <c r="M35" s="81"/>
      <c r="N35" s="81"/>
      <c r="O35" s="81"/>
      <c r="P35" s="81"/>
      <c r="Q35" s="81"/>
      <c r="R35" s="81"/>
    </row>
    <row r="36" spans="1:18" x14ac:dyDescent="0.3">
      <c r="A36" s="8" t="s">
        <v>13</v>
      </c>
      <c r="B36" s="8" t="s">
        <v>14</v>
      </c>
      <c r="C36" s="23">
        <v>33666</v>
      </c>
      <c r="D36" s="8">
        <v>1</v>
      </c>
      <c r="E36" s="8">
        <f t="shared" ref="E36:E50" ca="1" si="2">DATEDIF(C36,TODAY(),"Y")</f>
        <v>34</v>
      </c>
      <c r="F36" s="8" t="s">
        <v>15</v>
      </c>
      <c r="G36" s="8" t="s">
        <v>16</v>
      </c>
      <c r="H36" s="8">
        <v>95000</v>
      </c>
    </row>
    <row r="37" spans="1:18" ht="18" x14ac:dyDescent="0.3">
      <c r="A37" s="8" t="s">
        <v>17</v>
      </c>
      <c r="B37" s="8" t="s">
        <v>18</v>
      </c>
      <c r="C37" s="23">
        <v>33701</v>
      </c>
      <c r="D37" s="8">
        <v>2</v>
      </c>
      <c r="E37" s="8">
        <f t="shared" ca="1" si="2"/>
        <v>34</v>
      </c>
      <c r="F37" s="8" t="s">
        <v>15</v>
      </c>
      <c r="G37" s="8" t="s">
        <v>19</v>
      </c>
      <c r="H37" s="8">
        <v>64000</v>
      </c>
      <c r="J37" s="80" t="s">
        <v>167</v>
      </c>
      <c r="K37" s="80"/>
      <c r="L37" s="80"/>
      <c r="M37" s="80"/>
      <c r="N37" s="80"/>
      <c r="O37" s="80"/>
      <c r="P37" s="80"/>
      <c r="Q37" s="80"/>
      <c r="R37" s="80"/>
    </row>
    <row r="38" spans="1:18" x14ac:dyDescent="0.3">
      <c r="A38" s="8" t="s">
        <v>20</v>
      </c>
      <c r="B38" s="8" t="s">
        <v>21</v>
      </c>
      <c r="C38" s="23">
        <v>32317</v>
      </c>
      <c r="D38" s="8">
        <v>3</v>
      </c>
      <c r="E38" s="8">
        <f t="shared" ca="1" si="2"/>
        <v>38</v>
      </c>
      <c r="F38" s="8" t="s">
        <v>22</v>
      </c>
      <c r="G38" s="8" t="s">
        <v>16</v>
      </c>
      <c r="H38" s="8">
        <v>75000</v>
      </c>
    </row>
    <row r="39" spans="1:18" x14ac:dyDescent="0.3">
      <c r="A39" s="8" t="s">
        <v>23</v>
      </c>
      <c r="B39" s="8" t="s">
        <v>24</v>
      </c>
      <c r="C39" s="23">
        <v>27526</v>
      </c>
      <c r="D39" s="8">
        <v>4</v>
      </c>
      <c r="E39" s="8">
        <f t="shared" ca="1" si="2"/>
        <v>51</v>
      </c>
      <c r="F39" s="8" t="s">
        <v>22</v>
      </c>
      <c r="G39" s="8" t="s">
        <v>16</v>
      </c>
      <c r="H39" s="8">
        <v>71500</v>
      </c>
      <c r="J39" s="65" t="s">
        <v>168</v>
      </c>
      <c r="L39" s="73" t="s">
        <v>180</v>
      </c>
      <c r="M39" s="74"/>
      <c r="N39" s="74"/>
      <c r="O39" s="74"/>
      <c r="P39" s="74"/>
      <c r="Q39" s="74"/>
      <c r="R39" s="74"/>
    </row>
    <row r="40" spans="1:18" x14ac:dyDescent="0.3">
      <c r="A40" s="8" t="s">
        <v>25</v>
      </c>
      <c r="B40" s="8" t="s">
        <v>26</v>
      </c>
      <c r="C40" s="23">
        <v>29324</v>
      </c>
      <c r="D40" s="8">
        <v>5</v>
      </c>
      <c r="E40" s="8">
        <f t="shared" ca="1" si="2"/>
        <v>46</v>
      </c>
      <c r="F40" s="8" t="s">
        <v>22</v>
      </c>
      <c r="G40" s="8" t="s">
        <v>27</v>
      </c>
      <c r="H40" s="8">
        <v>62050</v>
      </c>
    </row>
    <row r="41" spans="1:18" x14ac:dyDescent="0.3">
      <c r="A41" s="8" t="s">
        <v>28</v>
      </c>
      <c r="B41" s="8" t="s">
        <v>29</v>
      </c>
      <c r="C41" s="23">
        <v>20162</v>
      </c>
      <c r="D41" s="8">
        <v>6</v>
      </c>
      <c r="E41" s="8">
        <f t="shared" ca="1" si="2"/>
        <v>71</v>
      </c>
      <c r="F41" s="8" t="s">
        <v>22</v>
      </c>
      <c r="G41" s="8" t="s">
        <v>16</v>
      </c>
      <c r="H41" s="8">
        <v>80690</v>
      </c>
      <c r="J41" s="65" t="s">
        <v>169</v>
      </c>
      <c r="L41" s="74" t="s">
        <v>184</v>
      </c>
      <c r="M41" s="74"/>
      <c r="N41" s="74"/>
      <c r="O41" s="74"/>
      <c r="P41" s="74"/>
      <c r="Q41" s="74"/>
      <c r="R41" s="74"/>
    </row>
    <row r="42" spans="1:18" x14ac:dyDescent="0.3">
      <c r="A42" s="8" t="s">
        <v>30</v>
      </c>
      <c r="B42" s="8" t="s">
        <v>31</v>
      </c>
      <c r="C42" s="23">
        <v>23422</v>
      </c>
      <c r="D42" s="8">
        <v>7</v>
      </c>
      <c r="E42" s="8">
        <f t="shared" ca="1" si="2"/>
        <v>62</v>
      </c>
      <c r="F42" s="8" t="s">
        <v>22</v>
      </c>
      <c r="G42" s="8" t="s">
        <v>16</v>
      </c>
      <c r="H42" s="8">
        <v>66300</v>
      </c>
    </row>
    <row r="43" spans="1:18" x14ac:dyDescent="0.3">
      <c r="A43" s="8" t="s">
        <v>32</v>
      </c>
      <c r="B43" s="8" t="s">
        <v>33</v>
      </c>
      <c r="C43" s="23">
        <v>23027</v>
      </c>
      <c r="D43" s="8">
        <v>8</v>
      </c>
      <c r="E43" s="8">
        <f t="shared" ca="1" si="2"/>
        <v>63</v>
      </c>
      <c r="F43" s="8" t="s">
        <v>15</v>
      </c>
      <c r="G43" s="8" t="s">
        <v>34</v>
      </c>
      <c r="H43" s="8">
        <v>89028</v>
      </c>
      <c r="J43" s="65" t="s">
        <v>170</v>
      </c>
      <c r="L43" s="73" t="s">
        <v>185</v>
      </c>
      <c r="M43" s="74"/>
      <c r="N43" s="74"/>
      <c r="O43" s="74"/>
      <c r="P43" s="74"/>
      <c r="Q43" s="74"/>
      <c r="R43" s="74"/>
    </row>
    <row r="44" spans="1:18" x14ac:dyDescent="0.3">
      <c r="A44" s="8" t="s">
        <v>35</v>
      </c>
      <c r="B44" s="8" t="s">
        <v>36</v>
      </c>
      <c r="C44" s="23">
        <v>24885</v>
      </c>
      <c r="D44" s="8">
        <v>9</v>
      </c>
      <c r="E44" s="8">
        <f t="shared" ca="1" si="2"/>
        <v>58</v>
      </c>
      <c r="F44" s="8" t="s">
        <v>22</v>
      </c>
      <c r="G44" s="8" t="s">
        <v>37</v>
      </c>
      <c r="H44" s="8">
        <v>78000</v>
      </c>
    </row>
    <row r="45" spans="1:18" x14ac:dyDescent="0.3">
      <c r="A45" s="8" t="s">
        <v>38</v>
      </c>
      <c r="B45" s="8" t="s">
        <v>39</v>
      </c>
      <c r="C45" s="23">
        <v>22751</v>
      </c>
      <c r="D45" s="8">
        <v>10</v>
      </c>
      <c r="E45" s="8">
        <f t="shared" ca="1" si="2"/>
        <v>64</v>
      </c>
      <c r="F45" s="8" t="s">
        <v>22</v>
      </c>
      <c r="G45" s="8" t="s">
        <v>16</v>
      </c>
      <c r="H45" s="8">
        <v>65500</v>
      </c>
      <c r="J45" s="65" t="s">
        <v>171</v>
      </c>
      <c r="L45" s="73" t="s">
        <v>181</v>
      </c>
      <c r="M45" s="74"/>
      <c r="N45" s="74"/>
      <c r="O45" s="74"/>
      <c r="P45" s="74"/>
      <c r="Q45" s="74"/>
      <c r="R45" s="74"/>
    </row>
    <row r="46" spans="1:18" x14ac:dyDescent="0.3">
      <c r="A46" s="8" t="s">
        <v>40</v>
      </c>
      <c r="B46" s="8" t="s">
        <v>41</v>
      </c>
      <c r="C46" s="23">
        <v>24549</v>
      </c>
      <c r="D46" s="8">
        <v>11</v>
      </c>
      <c r="E46" s="8">
        <f t="shared" ca="1" si="2"/>
        <v>59</v>
      </c>
      <c r="F46" s="8" t="s">
        <v>22</v>
      </c>
      <c r="G46" s="8" t="s">
        <v>37</v>
      </c>
      <c r="H46" s="8">
        <v>78000</v>
      </c>
    </row>
    <row r="47" spans="1:18" x14ac:dyDescent="0.3">
      <c r="A47" s="8" t="s">
        <v>42</v>
      </c>
      <c r="B47" s="8" t="s">
        <v>43</v>
      </c>
      <c r="C47" s="23">
        <v>26408</v>
      </c>
      <c r="D47" s="8">
        <v>12</v>
      </c>
      <c r="E47" s="8">
        <f t="shared" ca="1" si="2"/>
        <v>54</v>
      </c>
      <c r="F47" s="8" t="s">
        <v>22</v>
      </c>
      <c r="G47" s="8" t="s">
        <v>19</v>
      </c>
      <c r="H47" s="8">
        <v>92004</v>
      </c>
      <c r="J47" s="65" t="s">
        <v>172</v>
      </c>
      <c r="L47" s="73" t="s">
        <v>182</v>
      </c>
      <c r="M47" s="74"/>
      <c r="N47" s="74"/>
      <c r="O47" s="74"/>
      <c r="P47" s="74"/>
      <c r="Q47" s="74"/>
      <c r="R47" s="74"/>
    </row>
    <row r="48" spans="1:18" x14ac:dyDescent="0.3">
      <c r="A48" s="8" t="s">
        <v>44</v>
      </c>
      <c r="B48" s="8" t="s">
        <v>45</v>
      </c>
      <c r="C48" s="23">
        <v>29726</v>
      </c>
      <c r="D48" s="8">
        <v>13</v>
      </c>
      <c r="E48" s="8">
        <f t="shared" ca="1" si="2"/>
        <v>45</v>
      </c>
      <c r="F48" s="8" t="s">
        <v>15</v>
      </c>
      <c r="G48" s="8" t="s">
        <v>46</v>
      </c>
      <c r="H48" s="8">
        <v>97000</v>
      </c>
    </row>
    <row r="49" spans="1:18" x14ac:dyDescent="0.3">
      <c r="A49" s="8" t="s">
        <v>47</v>
      </c>
      <c r="B49" s="8" t="s">
        <v>48</v>
      </c>
      <c r="C49" s="23">
        <v>23914</v>
      </c>
      <c r="D49" s="8">
        <v>14</v>
      </c>
      <c r="E49" s="8">
        <f t="shared" ca="1" si="2"/>
        <v>61</v>
      </c>
      <c r="F49" s="8" t="s">
        <v>22</v>
      </c>
      <c r="G49" s="8" t="s">
        <v>37</v>
      </c>
      <c r="H49" s="8">
        <v>120000</v>
      </c>
      <c r="J49" s="65" t="s">
        <v>173</v>
      </c>
      <c r="L49" s="73" t="s">
        <v>183</v>
      </c>
      <c r="M49" s="74"/>
      <c r="N49" s="74"/>
      <c r="O49" s="74"/>
      <c r="P49" s="74"/>
      <c r="Q49" s="74"/>
      <c r="R49" s="74"/>
    </row>
    <row r="50" spans="1:18" x14ac:dyDescent="0.3">
      <c r="A50" s="8" t="s">
        <v>49</v>
      </c>
      <c r="B50" s="8" t="s">
        <v>50</v>
      </c>
      <c r="C50" s="23">
        <v>27597</v>
      </c>
      <c r="D50" s="8">
        <v>15</v>
      </c>
      <c r="E50" s="8">
        <f t="shared" ca="1" si="2"/>
        <v>51</v>
      </c>
      <c r="F50" s="8" t="s">
        <v>22</v>
      </c>
      <c r="G50" s="8" t="s">
        <v>46</v>
      </c>
      <c r="H50" s="8">
        <v>128000</v>
      </c>
    </row>
    <row r="51" spans="1:18" x14ac:dyDescent="0.3">
      <c r="A51" s="8" t="s">
        <v>51</v>
      </c>
      <c r="B51" s="8" t="s">
        <v>52</v>
      </c>
      <c r="C51" s="23">
        <v>31282</v>
      </c>
      <c r="D51" s="8">
        <v>16</v>
      </c>
      <c r="E51" s="8">
        <v>39</v>
      </c>
      <c r="F51" s="8" t="s">
        <v>15</v>
      </c>
      <c r="G51" s="8" t="s">
        <v>27</v>
      </c>
      <c r="H51" s="8">
        <v>131000</v>
      </c>
    </row>
    <row r="52" spans="1:18" ht="18.600000000000001" thickBot="1" x14ac:dyDescent="0.35">
      <c r="A52" s="8" t="s">
        <v>53</v>
      </c>
      <c r="B52" s="8" t="s">
        <v>54</v>
      </c>
      <c r="C52" s="23">
        <v>29488</v>
      </c>
      <c r="D52" s="8">
        <v>17</v>
      </c>
      <c r="E52" s="8">
        <v>44</v>
      </c>
      <c r="F52" s="8" t="s">
        <v>22</v>
      </c>
      <c r="G52" s="8" t="s">
        <v>16</v>
      </c>
      <c r="H52" s="8">
        <v>221850</v>
      </c>
      <c r="J52" s="75" t="s">
        <v>73</v>
      </c>
      <c r="K52" s="76"/>
      <c r="L52" s="76"/>
    </row>
    <row r="53" spans="1:18" ht="18.600000000000001" thickBot="1" x14ac:dyDescent="0.35">
      <c r="A53" s="8" t="s">
        <v>55</v>
      </c>
      <c r="B53" s="8" t="s">
        <v>60</v>
      </c>
      <c r="C53" s="23">
        <v>16735</v>
      </c>
      <c r="D53" s="8">
        <v>18</v>
      </c>
      <c r="E53" s="8">
        <v>79</v>
      </c>
      <c r="F53" s="8" t="s">
        <v>22</v>
      </c>
      <c r="G53" s="8" t="s">
        <v>61</v>
      </c>
      <c r="H53" s="8">
        <v>70000</v>
      </c>
      <c r="J53" s="5" t="s">
        <v>6</v>
      </c>
      <c r="K53" s="5" t="s">
        <v>11</v>
      </c>
      <c r="L53" s="9" t="s">
        <v>73</v>
      </c>
    </row>
    <row r="54" spans="1:18" x14ac:dyDescent="0.3">
      <c r="A54" s="8" t="s">
        <v>44</v>
      </c>
      <c r="B54" s="8" t="s">
        <v>62</v>
      </c>
      <c r="C54" s="23">
        <v>27359</v>
      </c>
      <c r="D54" s="8">
        <v>19</v>
      </c>
      <c r="E54" s="8">
        <v>49</v>
      </c>
      <c r="F54" s="8" t="s">
        <v>22</v>
      </c>
      <c r="G54" s="8" t="s">
        <v>63</v>
      </c>
      <c r="H54" s="8">
        <v>65000</v>
      </c>
      <c r="J54" s="12" t="s">
        <v>13</v>
      </c>
      <c r="K54" s="26" t="str">
        <f>_xlfn.XLOOKUP(J54,$A$35:$A$60,$G$35:$G$60,"مش موجود",0,1 )</f>
        <v>Trading</v>
      </c>
      <c r="L54" s="11" t="s">
        <v>10</v>
      </c>
    </row>
    <row r="55" spans="1:18" x14ac:dyDescent="0.3">
      <c r="A55" s="8" t="s">
        <v>56</v>
      </c>
      <c r="B55" s="8" t="s">
        <v>51</v>
      </c>
      <c r="C55" s="23">
        <v>27025</v>
      </c>
      <c r="D55" s="8">
        <v>20</v>
      </c>
      <c r="E55" s="8">
        <v>50</v>
      </c>
      <c r="F55" s="8" t="s">
        <v>22</v>
      </c>
      <c r="G55" s="8" t="s">
        <v>63</v>
      </c>
      <c r="H55" s="8">
        <v>85000</v>
      </c>
      <c r="J55" s="11" t="s">
        <v>17</v>
      </c>
      <c r="K55" s="26" t="str">
        <f t="shared" ref="K55:K59" si="3">_xlfn.XLOOKUP(J55,$A$35:$A$60,$G$35:$G$60,"مش موجود",0,1 )</f>
        <v>Oil &amp; Gas</v>
      </c>
      <c r="L55" s="11" t="s">
        <v>11</v>
      </c>
    </row>
    <row r="56" spans="1:18" x14ac:dyDescent="0.3">
      <c r="A56" s="8" t="s">
        <v>57</v>
      </c>
      <c r="B56" s="8" t="s">
        <v>64</v>
      </c>
      <c r="C56" s="23">
        <v>29386</v>
      </c>
      <c r="D56" s="8">
        <v>21</v>
      </c>
      <c r="E56" s="8">
        <v>44</v>
      </c>
      <c r="F56" s="8" t="s">
        <v>22</v>
      </c>
      <c r="G56" s="8" t="s">
        <v>65</v>
      </c>
      <c r="H56" s="8">
        <v>77100</v>
      </c>
      <c r="J56" s="11" t="s">
        <v>20</v>
      </c>
      <c r="K56" s="26" t="str">
        <f t="shared" si="3"/>
        <v>Trading</v>
      </c>
    </row>
    <row r="57" spans="1:18" x14ac:dyDescent="0.3">
      <c r="A57" s="8" t="s">
        <v>44</v>
      </c>
      <c r="B57" s="8" t="s">
        <v>66</v>
      </c>
      <c r="C57" s="23">
        <v>28153</v>
      </c>
      <c r="D57" s="8">
        <v>22</v>
      </c>
      <c r="E57" s="8">
        <v>47</v>
      </c>
      <c r="F57" s="8" t="s">
        <v>22</v>
      </c>
      <c r="G57" s="8" t="s">
        <v>27</v>
      </c>
      <c r="H57" s="8">
        <v>110000</v>
      </c>
      <c r="J57" s="11" t="s">
        <v>23</v>
      </c>
      <c r="K57" s="26" t="str">
        <f t="shared" si="3"/>
        <v>Trading</v>
      </c>
    </row>
    <row r="58" spans="1:18" x14ac:dyDescent="0.3">
      <c r="A58" s="8" t="s">
        <v>58</v>
      </c>
      <c r="B58" s="8" t="s">
        <v>67</v>
      </c>
      <c r="C58" s="23">
        <v>31118</v>
      </c>
      <c r="D58" s="8">
        <v>23</v>
      </c>
      <c r="E58" s="8">
        <v>39</v>
      </c>
      <c r="F58" s="8" t="s">
        <v>22</v>
      </c>
      <c r="G58" s="8" t="s">
        <v>34</v>
      </c>
      <c r="H58" s="8">
        <v>78956</v>
      </c>
      <c r="J58" s="11" t="s">
        <v>25</v>
      </c>
      <c r="K58" s="26" t="str">
        <f t="shared" si="3"/>
        <v>Manufacturing</v>
      </c>
    </row>
    <row r="59" spans="1:18" x14ac:dyDescent="0.3">
      <c r="A59" s="8" t="s">
        <v>59</v>
      </c>
      <c r="B59" s="8" t="s">
        <v>68</v>
      </c>
      <c r="C59" s="23">
        <v>32410</v>
      </c>
      <c r="D59" s="8">
        <v>24</v>
      </c>
      <c r="E59" s="8">
        <v>36</v>
      </c>
      <c r="F59" s="8" t="s">
        <v>22</v>
      </c>
      <c r="G59" s="8" t="s">
        <v>27</v>
      </c>
      <c r="H59" s="8">
        <v>83000</v>
      </c>
      <c r="J59" s="11" t="s">
        <v>187</v>
      </c>
      <c r="K59" s="66" t="str">
        <f t="shared" si="3"/>
        <v>مش موجود</v>
      </c>
    </row>
    <row r="60" spans="1:18" x14ac:dyDescent="0.3">
      <c r="A60" s="8" t="s">
        <v>69</v>
      </c>
      <c r="B60" s="8" t="s">
        <v>70</v>
      </c>
      <c r="C60" s="23">
        <v>31835</v>
      </c>
      <c r="D60" s="8">
        <v>25</v>
      </c>
      <c r="E60" s="8">
        <v>37</v>
      </c>
      <c r="F60" s="8" t="s">
        <v>15</v>
      </c>
      <c r="G60" s="8" t="s">
        <v>71</v>
      </c>
      <c r="H60" s="8">
        <v>85000</v>
      </c>
    </row>
    <row r="66" spans="10:14" ht="15.6" customHeight="1" x14ac:dyDescent="0.3">
      <c r="J66" s="82" t="s">
        <v>188</v>
      </c>
      <c r="K66" s="83"/>
      <c r="M66" s="77" t="s">
        <v>189</v>
      </c>
      <c r="N66" s="78"/>
    </row>
    <row r="67" spans="10:14" ht="15.6" customHeight="1" x14ac:dyDescent="0.3">
      <c r="J67" s="84"/>
      <c r="K67" s="85"/>
    </row>
    <row r="68" spans="10:14" ht="18" x14ac:dyDescent="0.3">
      <c r="M68" s="77" t="s">
        <v>190</v>
      </c>
      <c r="N68" s="78"/>
    </row>
    <row r="70" spans="10:14" ht="18" x14ac:dyDescent="0.3">
      <c r="M70" s="77" t="s">
        <v>191</v>
      </c>
      <c r="N70" s="78"/>
    </row>
    <row r="72" spans="10:14" ht="18" x14ac:dyDescent="0.3">
      <c r="M72" s="77" t="s">
        <v>192</v>
      </c>
      <c r="N72" s="78"/>
    </row>
  </sheetData>
  <mergeCells count="25">
    <mergeCell ref="M68:N68"/>
    <mergeCell ref="M70:N70"/>
    <mergeCell ref="M72:N72"/>
    <mergeCell ref="A1:S1"/>
    <mergeCell ref="J20:L20"/>
    <mergeCell ref="J5:R5"/>
    <mergeCell ref="J3:R3"/>
    <mergeCell ref="J66:K67"/>
    <mergeCell ref="M66:N66"/>
    <mergeCell ref="H33:K33"/>
    <mergeCell ref="J35:R35"/>
    <mergeCell ref="J37:R37"/>
    <mergeCell ref="L39:R39"/>
    <mergeCell ref="L7:R7"/>
    <mergeCell ref="L9:R9"/>
    <mergeCell ref="L11:R11"/>
    <mergeCell ref="L13:R13"/>
    <mergeCell ref="L15:R15"/>
    <mergeCell ref="L17:R17"/>
    <mergeCell ref="J52:L52"/>
    <mergeCell ref="L41:R41"/>
    <mergeCell ref="L43:R43"/>
    <mergeCell ref="L45:R45"/>
    <mergeCell ref="L47:R47"/>
    <mergeCell ref="L49:R4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5489-334C-4E47-A081-55BFF7B11B34}">
  <sheetPr>
    <tabColor theme="0" tint="-0.14999847407452621"/>
  </sheetPr>
  <dimension ref="D2:E7"/>
  <sheetViews>
    <sheetView workbookViewId="0">
      <selection activeCell="F20" sqref="F20"/>
    </sheetView>
  </sheetViews>
  <sheetFormatPr defaultRowHeight="14.4" x14ac:dyDescent="0.3"/>
  <cols>
    <col min="4" max="4" width="15" bestFit="1" customWidth="1"/>
    <col min="5" max="5" width="16.109375" customWidth="1"/>
    <col min="8" max="8" width="13.44140625" bestFit="1" customWidth="1"/>
    <col min="9" max="9" width="15.6640625" customWidth="1"/>
  </cols>
  <sheetData>
    <row r="2" spans="4:5" ht="21" x14ac:dyDescent="0.4">
      <c r="E2" s="69">
        <v>12.4445</v>
      </c>
    </row>
    <row r="5" spans="4:5" ht="18" x14ac:dyDescent="0.35">
      <c r="D5" s="68" t="s">
        <v>198</v>
      </c>
      <c r="E5" s="70">
        <f>ROUND(E2,2)</f>
        <v>12.44</v>
      </c>
    </row>
    <row r="6" spans="4:5" ht="18" x14ac:dyDescent="0.35">
      <c r="D6" s="68" t="s">
        <v>199</v>
      </c>
      <c r="E6" s="70">
        <f>ROUNDUP(E2,1)</f>
        <v>12.5</v>
      </c>
    </row>
    <row r="7" spans="4:5" ht="18" x14ac:dyDescent="0.35">
      <c r="D7" s="68" t="s">
        <v>200</v>
      </c>
      <c r="E7" s="70">
        <f>ROUNDDOWN(E2,3)</f>
        <v>12.444000000000001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D6E9-E328-4033-9759-A5BDFA5A89F2}">
  <dimension ref="A1:X27"/>
  <sheetViews>
    <sheetView zoomScale="90" zoomScaleNormal="90" workbookViewId="0">
      <selection activeCell="J15" sqref="A1:XFD1048576"/>
    </sheetView>
  </sheetViews>
  <sheetFormatPr defaultRowHeight="14.4" x14ac:dyDescent="0.3"/>
  <cols>
    <col min="2" max="2" width="2.33203125" customWidth="1"/>
  </cols>
  <sheetData>
    <row r="1" spans="1:24" x14ac:dyDescent="0.3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</row>
    <row r="2" spans="1:24" x14ac:dyDescent="0.3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</row>
    <row r="3" spans="1:24" x14ac:dyDescent="0.3">
      <c r="A3" s="67"/>
      <c r="X3" s="67"/>
    </row>
    <row r="4" spans="1:24" ht="18" x14ac:dyDescent="0.3">
      <c r="A4" s="67"/>
      <c r="C4" s="104" t="s">
        <v>193</v>
      </c>
      <c r="D4" s="104"/>
      <c r="E4" s="104"/>
      <c r="F4" s="104"/>
      <c r="G4" s="104"/>
      <c r="H4" s="104"/>
      <c r="I4" s="104"/>
      <c r="J4" s="104"/>
      <c r="K4" s="104"/>
      <c r="L4" s="104"/>
      <c r="M4" s="104"/>
      <c r="X4" s="67"/>
    </row>
    <row r="5" spans="1:24" x14ac:dyDescent="0.3">
      <c r="A5" s="67"/>
      <c r="X5" s="67"/>
    </row>
    <row r="6" spans="1:24" x14ac:dyDescent="0.3">
      <c r="A6" s="67"/>
      <c r="X6" s="67"/>
    </row>
    <row r="7" spans="1:24" ht="15.6" x14ac:dyDescent="0.3">
      <c r="A7" s="67"/>
      <c r="C7" s="106" t="s">
        <v>195</v>
      </c>
      <c r="D7" s="106"/>
      <c r="E7" s="106"/>
      <c r="F7" s="106"/>
      <c r="G7" s="106"/>
      <c r="H7" s="106"/>
      <c r="I7" s="106"/>
      <c r="J7" s="106"/>
      <c r="K7" s="106"/>
      <c r="L7" s="106"/>
      <c r="M7" s="106"/>
      <c r="X7" s="67"/>
    </row>
    <row r="8" spans="1:24" x14ac:dyDescent="0.3">
      <c r="A8" s="67"/>
      <c r="X8" s="67"/>
    </row>
    <row r="9" spans="1:24" ht="15.6" x14ac:dyDescent="0.3">
      <c r="A9" s="67"/>
      <c r="C9" s="106" t="s">
        <v>196</v>
      </c>
      <c r="D9" s="106"/>
      <c r="E9" s="106"/>
      <c r="F9" s="106"/>
      <c r="G9" s="106"/>
      <c r="H9" s="106"/>
      <c r="I9" s="106"/>
      <c r="J9" s="106"/>
      <c r="K9" s="106"/>
      <c r="L9" s="106"/>
      <c r="M9" s="106"/>
      <c r="X9" s="67"/>
    </row>
    <row r="10" spans="1:24" x14ac:dyDescent="0.3">
      <c r="A10" s="67"/>
      <c r="X10" s="67"/>
    </row>
    <row r="11" spans="1:24" ht="15.6" x14ac:dyDescent="0.3">
      <c r="A11" s="67"/>
      <c r="C11" s="106" t="s">
        <v>194</v>
      </c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X11" s="67"/>
    </row>
    <row r="12" spans="1:24" x14ac:dyDescent="0.3">
      <c r="A12" s="67"/>
      <c r="X12" s="67"/>
    </row>
    <row r="13" spans="1:24" x14ac:dyDescent="0.3">
      <c r="A13" s="67"/>
      <c r="X13" s="67"/>
    </row>
    <row r="14" spans="1:24" x14ac:dyDescent="0.3">
      <c r="A14" s="67"/>
      <c r="X14" s="67"/>
    </row>
    <row r="15" spans="1:24" x14ac:dyDescent="0.3">
      <c r="A15" s="67"/>
      <c r="X15" s="67"/>
    </row>
    <row r="16" spans="1:24" x14ac:dyDescent="0.3">
      <c r="A16" s="67"/>
      <c r="X16" s="67"/>
    </row>
    <row r="17" spans="1:24" ht="14.4" customHeight="1" x14ac:dyDescent="0.3">
      <c r="A17" s="67"/>
      <c r="F17" s="105" t="s">
        <v>197</v>
      </c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X17" s="67"/>
    </row>
    <row r="18" spans="1:24" ht="14.4" customHeight="1" x14ac:dyDescent="0.3">
      <c r="A18" s="67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X18" s="67"/>
    </row>
    <row r="19" spans="1:24" ht="14.4" customHeight="1" x14ac:dyDescent="0.3">
      <c r="A19" s="67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X19" s="67"/>
    </row>
    <row r="20" spans="1:24" ht="14.4" customHeight="1" x14ac:dyDescent="0.3">
      <c r="A20" s="67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X20" s="67"/>
    </row>
    <row r="21" spans="1:24" x14ac:dyDescent="0.3">
      <c r="A21" s="67"/>
      <c r="X21" s="67"/>
    </row>
    <row r="22" spans="1:24" x14ac:dyDescent="0.3">
      <c r="A22" s="67"/>
      <c r="X22" s="67"/>
    </row>
    <row r="23" spans="1:24" x14ac:dyDescent="0.3">
      <c r="A23" s="67"/>
      <c r="X23" s="67"/>
    </row>
    <row r="24" spans="1:24" x14ac:dyDescent="0.3">
      <c r="A24" s="67"/>
      <c r="X24" s="67"/>
    </row>
    <row r="25" spans="1:24" x14ac:dyDescent="0.3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</row>
    <row r="26" spans="1:24" x14ac:dyDescent="0.3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</row>
    <row r="27" spans="1:24" x14ac:dyDescent="0.3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</row>
  </sheetData>
  <mergeCells count="5">
    <mergeCell ref="C4:M4"/>
    <mergeCell ref="F17:U20"/>
    <mergeCell ref="C7:M7"/>
    <mergeCell ref="C9:M9"/>
    <mergeCell ref="C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Date and Time </vt:lpstr>
      <vt:lpstr>Logical </vt:lpstr>
      <vt:lpstr>Vlookup</vt:lpstr>
      <vt:lpstr>HLookup</vt:lpstr>
      <vt:lpstr>XLookup</vt:lpstr>
      <vt:lpstr>Rounding and Dynamic Filters </vt:lpstr>
      <vt:lpstr>ليه مش دايما معادلات؟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Sohila Khaled</cp:lastModifiedBy>
  <cp:lastPrinted>2023-09-16T12:46:12Z</cp:lastPrinted>
  <dcterms:created xsi:type="dcterms:W3CDTF">2012-05-15T12:44:10Z</dcterms:created>
  <dcterms:modified xsi:type="dcterms:W3CDTF">2026-09-29T00:00:01Z</dcterms:modified>
</cp:coreProperties>
</file>
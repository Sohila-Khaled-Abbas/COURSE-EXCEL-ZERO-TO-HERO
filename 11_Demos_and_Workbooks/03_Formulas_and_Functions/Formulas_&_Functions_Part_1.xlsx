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965B7F88-DFA2-4E1F-A8F8-13BC04E38ED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ithmetic and statistical" sheetId="1" r:id="rId1"/>
    <sheet name="Counting " sheetId="2" r:id="rId2"/>
    <sheet name="Tex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1I9O0X8oKqKkAXoHoe4pmIXC8Ur1sLy/3+CQAEwKwkA="/>
    </ext>
  </extLst>
</workbook>
</file>

<file path=xl/calcChain.xml><?xml version="1.0" encoding="utf-8"?>
<calcChain xmlns="http://schemas.openxmlformats.org/spreadsheetml/2006/main">
  <c r="E11" i="1" l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<sst xmlns="http://schemas.openxmlformats.org/spreadsheetml/2006/main" count="81" uniqueCount="66">
  <si>
    <t xml:space="preserve">Mostafa </t>
  </si>
  <si>
    <t xml:space="preserve">            MAN      United              </t>
  </si>
  <si>
    <t>Counting</t>
  </si>
  <si>
    <t>Cai</t>
  </si>
  <si>
    <t xml:space="preserve">ro </t>
  </si>
  <si>
    <t xml:space="preserve">Concat </t>
  </si>
  <si>
    <t xml:space="preserve">Left </t>
  </si>
  <si>
    <t xml:space="preserve">Right </t>
  </si>
  <si>
    <t xml:space="preserve">Mid </t>
  </si>
  <si>
    <t xml:space="preserve">Len </t>
  </si>
  <si>
    <t>Arithmetic and statistical</t>
  </si>
  <si>
    <t xml:space="preserve">Trim </t>
  </si>
  <si>
    <t xml:space="preserve">substitue - Replace </t>
  </si>
  <si>
    <t>Mostafa</t>
  </si>
  <si>
    <t xml:space="preserve">count </t>
  </si>
  <si>
    <t>Instance</t>
  </si>
  <si>
    <t>رقم التكرار اللى هيستبدل فيه الحرف</t>
  </si>
  <si>
    <t xml:space="preserve">Find - Search </t>
  </si>
  <si>
    <t xml:space="preserve">Upper </t>
  </si>
  <si>
    <t xml:space="preserve">Lower </t>
  </si>
  <si>
    <t xml:space="preserve">Sum </t>
  </si>
  <si>
    <t>Proper</t>
  </si>
  <si>
    <t>a</t>
  </si>
  <si>
    <t>Sum_IF</t>
  </si>
  <si>
    <t>countA</t>
  </si>
  <si>
    <t>range</t>
  </si>
  <si>
    <t>النطاق اللي هيتم تطبيق الشرط عليه</t>
  </si>
  <si>
    <t>count_blank</t>
  </si>
  <si>
    <t xml:space="preserve">Apple </t>
  </si>
  <si>
    <t xml:space="preserve">count_if </t>
  </si>
  <si>
    <t>Sum_IFS</t>
  </si>
  <si>
    <t xml:space="preserve">min </t>
  </si>
  <si>
    <t>b</t>
  </si>
  <si>
    <t>count_ifs</t>
  </si>
  <si>
    <t>criteria</t>
  </si>
  <si>
    <t>الشرط نفسه</t>
  </si>
  <si>
    <t xml:space="preserve">max </t>
  </si>
  <si>
    <t>c</t>
  </si>
  <si>
    <t>avg (mean)</t>
  </si>
  <si>
    <t>Mean = الاسم الإحصائي</t>
  </si>
  <si>
    <t>sum_range</t>
  </si>
  <si>
    <t>القيم اللي عايز تجمعها</t>
  </si>
  <si>
    <t>Fatma</t>
  </si>
  <si>
    <t xml:space="preserve">product </t>
  </si>
  <si>
    <t>d</t>
  </si>
  <si>
    <t>quotient</t>
  </si>
  <si>
    <t>Quotient = ناتج القسمة</t>
  </si>
  <si>
    <t>mod</t>
  </si>
  <si>
    <t xml:space="preserve">Mod = الباقي من القسمه </t>
  </si>
  <si>
    <t xml:space="preserve">power </t>
  </si>
  <si>
    <t xml:space="preserve">var_s - التباين - التشتت </t>
  </si>
  <si>
    <t>بيقيس قد إيه القيم بعيدة عن المتوسط</t>
  </si>
  <si>
    <t>وحدته مربعة (وده بيخليه أقل وضوحًا)</t>
  </si>
  <si>
    <t>var_p -</t>
  </si>
  <si>
    <t xml:space="preserve">STDEV_s - اللانحراف المعياري  </t>
  </si>
  <si>
    <t>هو الجذر التربيعي للـ Variance</t>
  </si>
  <si>
    <t>STDEV_p</t>
  </si>
  <si>
    <t>طب هي الفكره هو انا عايز اعرف القيم بعيده عن المتوسط ليه؟</t>
  </si>
  <si>
    <t>ال STDEV عالى؟؟ --&gt;&gt; نقفل و نعيط و نعرف ان فى مشكلة</t>
  </si>
  <si>
    <t>علشان اكتشف الثبات و ال Outliers</t>
  </si>
  <si>
    <t xml:space="preserve">Range </t>
  </si>
  <si>
    <t>Max(Number) - Min(Number)</t>
  </si>
  <si>
    <t xml:space="preserve">Median </t>
  </si>
  <si>
    <t>Median هو القيمة اللي في نص البيانات بعد ترتيبها</t>
  </si>
  <si>
    <t>Mode</t>
  </si>
  <si>
    <t>Mode هو أكثر قيمة مكررة في البيانات.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</si>
</sst>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Calibri"/>
      <scheme val="minor"/>
    </font>
    <font>
      <b/>
      <sz val="18"/>
      <color theme="1"/>
      <name val="Calibri"/>
      <family val="2"/>
    </font>
    <font>
      <b/>
      <sz val="20"/>
      <color theme="0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sz val="16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2"/>
      <color theme="0"/>
      <name val="Calibri"/>
      <family val="2"/>
    </font>
    <font>
      <sz val="10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BDD6EE"/>
        <bgColor rgb="FFBDD6EE"/>
      </patternFill>
    </fill>
    <fill>
      <patternFill patternType="solid">
        <fgColor rgb="FFE2EFD9"/>
        <bgColor rgb="FFE2EFD9"/>
      </patternFill>
    </fill>
    <fill>
      <patternFill patternType="solid">
        <fgColor rgb="FF002060"/>
        <bgColor rgb="FF002060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6" fillId="0" borderId="0" xfId="0" applyFont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5" borderId="10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6" fillId="5" borderId="13" xfId="0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82E891BE-C8B9-4319-B7BC-1AEA822DD05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24</xdr:row>
      <xdr:rowOff>9525</xdr:rowOff>
    </xdr:from>
    <xdr:ext cx="1638300" cy="1809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531613" y="3689513"/>
          <a:ext cx="1628775" cy="180975"/>
        </a:xfrm>
        <a:prstGeom prst="rightArrow">
          <a:avLst>
            <a:gd name="adj1" fmla="val 50000"/>
            <a:gd name="adj2" fmla="val 50000"/>
          </a:avLst>
        </a:prstGeom>
        <a:gradFill>
          <a:gsLst>
            <a:gs pos="0">
              <a:srgbClr val="B4D4A5"/>
            </a:gs>
            <a:gs pos="50000">
              <a:srgbClr val="A8CD97"/>
            </a:gs>
            <a:gs pos="100000">
              <a:srgbClr val="9BC985"/>
            </a:gs>
          </a:gsLst>
          <a:lin ang="5400000" scaled="0"/>
        </a:gradFill>
        <a:ln w="9525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180975</xdr:colOff>
      <xdr:row>25</xdr:row>
      <xdr:rowOff>38100</xdr:rowOff>
    </xdr:from>
    <xdr:ext cx="476250" cy="21907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112638" y="3675225"/>
          <a:ext cx="466725" cy="209550"/>
        </a:xfrm>
        <a:prstGeom prst="downArrow">
          <a:avLst>
            <a:gd name="adj1" fmla="val 50000"/>
            <a:gd name="adj2" fmla="val 50000"/>
          </a:avLst>
        </a:prstGeom>
        <a:solidFill>
          <a:schemeClr val="lt1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38100</xdr:colOff>
      <xdr:row>26</xdr:row>
      <xdr:rowOff>0</xdr:rowOff>
    </xdr:from>
    <xdr:ext cx="2695575" cy="18097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4002975" y="3689513"/>
          <a:ext cx="2686050" cy="180975"/>
        </a:xfrm>
        <a:prstGeom prst="leftArrow">
          <a:avLst>
            <a:gd name="adj1" fmla="val 50000"/>
            <a:gd name="adj2" fmla="val 50000"/>
          </a:avLst>
        </a:prstGeom>
        <a:gradFill>
          <a:gsLst>
            <a:gs pos="0">
              <a:srgbClr val="B4D4A5"/>
            </a:gs>
            <a:gs pos="50000">
              <a:srgbClr val="A8CD97"/>
            </a:gs>
            <a:gs pos="100000">
              <a:srgbClr val="9BC985"/>
            </a:gs>
          </a:gsLst>
          <a:lin ang="5400000" scaled="0"/>
        </a:gradFill>
        <a:ln w="9525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152400</xdr:colOff>
      <xdr:row>30</xdr:row>
      <xdr:rowOff>9525</xdr:rowOff>
    </xdr:from>
    <xdr:ext cx="2009775" cy="1619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4345875" y="3703800"/>
          <a:ext cx="2000250" cy="152400"/>
        </a:xfrm>
        <a:prstGeom prst="leftArrow">
          <a:avLst>
            <a:gd name="adj1" fmla="val 50000"/>
            <a:gd name="adj2" fmla="val 50000"/>
          </a:avLst>
        </a:prstGeom>
        <a:solidFill>
          <a:schemeClr val="lt1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923925</xdr:colOff>
      <xdr:row>11</xdr:row>
      <xdr:rowOff>209550</xdr:rowOff>
    </xdr:from>
    <xdr:ext cx="3619500" cy="19812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tabSelected="1" workbookViewId="0">
      <selection activeCell="E12" sqref="E12"/>
    </sheetView>
  </sheetViews>
  <sheetFormatPr defaultColWidth="14.44140625" defaultRowHeight="14.4" x14ac:dyDescent="0.3"/>
  <cols>
    <col min="1" max="1" width="6.33203125" style="15" bestFit="1" customWidth="1"/>
    <col min="2" max="2" width="7.6640625" style="15" bestFit="1" customWidth="1"/>
    <col min="3" max="3" width="9.6640625" style="15" bestFit="1" customWidth="1"/>
    <col min="4" max="4" width="34.5546875" style="15" bestFit="1" customWidth="1"/>
    <col min="5" max="5" width="12" style="15" bestFit="1" customWidth="1"/>
    <col min="6" max="6" width="9.109375" style="15" customWidth="1"/>
    <col min="7" max="7" width="8.44140625" style="15" customWidth="1"/>
    <col min="8" max="8" width="18" style="15" customWidth="1"/>
    <col min="9" max="9" width="13.6640625" style="15" customWidth="1"/>
    <col min="10" max="11" width="8.6640625" style="15" customWidth="1"/>
    <col min="12" max="12" width="10.33203125" style="15" customWidth="1"/>
    <col min="13" max="13" width="12.44140625" style="15" customWidth="1"/>
    <col min="14" max="26" width="8.6640625" style="15" customWidth="1"/>
    <col min="27" max="16384" width="14.44140625" style="15"/>
  </cols>
  <sheetData>
    <row r="1" spans="1:15" x14ac:dyDescent="0.3">
      <c r="A1" s="4" t="s">
        <v>10</v>
      </c>
      <c r="B1" s="6"/>
      <c r="C1" s="6"/>
      <c r="D1" s="6"/>
      <c r="E1" s="7"/>
      <c r="F1" s="14"/>
    </row>
    <row r="2" spans="1:15" x14ac:dyDescent="0.3">
      <c r="A2" s="8"/>
      <c r="B2" s="9"/>
      <c r="C2" s="9"/>
      <c r="D2" s="9"/>
      <c r="E2" s="10"/>
      <c r="F2" s="14"/>
    </row>
    <row r="3" spans="1:15" ht="21" x14ac:dyDescent="0.3">
      <c r="A3" s="11">
        <v>1</v>
      </c>
      <c r="B3" s="11">
        <v>23</v>
      </c>
      <c r="C3" s="11" t="s">
        <v>13</v>
      </c>
      <c r="D3" s="12" t="s">
        <v>20</v>
      </c>
      <c r="E3" s="13">
        <f xml:space="preserve"> SUM(B3+A3)</f>
        <v>24</v>
      </c>
      <c r="F3" s="14"/>
    </row>
    <row r="4" spans="1:15" ht="21" x14ac:dyDescent="0.3">
      <c r="A4" s="11">
        <v>2</v>
      </c>
      <c r="B4" s="11">
        <v>24</v>
      </c>
      <c r="C4" s="11" t="s">
        <v>22</v>
      </c>
      <c r="D4" s="12" t="s">
        <v>23</v>
      </c>
      <c r="E4" s="13">
        <f>SUMIF(C3:C12,C3,B3:B12)</f>
        <v>48</v>
      </c>
      <c r="F4" s="14"/>
      <c r="L4" s="2" t="s">
        <v>25</v>
      </c>
      <c r="M4" s="16" t="s">
        <v>26</v>
      </c>
      <c r="N4" s="17"/>
      <c r="O4" s="18"/>
    </row>
    <row r="5" spans="1:15" ht="21" x14ac:dyDescent="0.3">
      <c r="A5" s="11">
        <v>3</v>
      </c>
      <c r="B5" s="11">
        <v>24</v>
      </c>
      <c r="C5" s="11" t="s">
        <v>28</v>
      </c>
      <c r="D5" s="12" t="s">
        <v>30</v>
      </c>
      <c r="E5" s="13">
        <f>SUMIFS(B3:B12,C3:C12,C3,D3:D12,D3)</f>
        <v>23</v>
      </c>
      <c r="M5" s="1"/>
      <c r="N5" s="1"/>
      <c r="O5" s="1"/>
    </row>
    <row r="6" spans="1:15" ht="21" x14ac:dyDescent="0.3">
      <c r="A6" s="11">
        <v>4</v>
      </c>
      <c r="B6" s="11">
        <v>25</v>
      </c>
      <c r="C6" s="11" t="s">
        <v>13</v>
      </c>
      <c r="D6" s="12" t="s">
        <v>31</v>
      </c>
      <c r="E6" s="13">
        <f>MIN(B3:B12)</f>
        <v>23</v>
      </c>
      <c r="L6" s="2" t="s">
        <v>34</v>
      </c>
      <c r="M6" s="16" t="s">
        <v>35</v>
      </c>
      <c r="N6" s="17"/>
      <c r="O6" s="18"/>
    </row>
    <row r="7" spans="1:15" ht="21" x14ac:dyDescent="0.3">
      <c r="A7" s="11">
        <v>5</v>
      </c>
      <c r="B7" s="11">
        <v>26</v>
      </c>
      <c r="C7" s="11" t="s">
        <v>32</v>
      </c>
      <c r="D7" s="12" t="s">
        <v>36</v>
      </c>
      <c r="E7" s="13">
        <f>MAX(B3:B12)</f>
        <v>31</v>
      </c>
      <c r="M7" s="1"/>
      <c r="N7" s="1"/>
      <c r="O7" s="1"/>
    </row>
    <row r="8" spans="1:15" ht="21" x14ac:dyDescent="0.3">
      <c r="A8" s="11">
        <v>6</v>
      </c>
      <c r="B8" s="11">
        <v>27</v>
      </c>
      <c r="C8" s="11" t="s">
        <v>37</v>
      </c>
      <c r="D8" s="12" t="s">
        <v>38</v>
      </c>
      <c r="E8" s="13">
        <f>AVERAGE(B3:B12)</f>
        <v>26.7</v>
      </c>
      <c r="H8" s="19" t="s">
        <v>39</v>
      </c>
      <c r="L8" s="2" t="s">
        <v>40</v>
      </c>
      <c r="M8" s="16" t="s">
        <v>41</v>
      </c>
      <c r="N8" s="17"/>
      <c r="O8" s="18"/>
    </row>
    <row r="9" spans="1:15" ht="21" x14ac:dyDescent="0.3">
      <c r="A9" s="11">
        <v>7</v>
      </c>
      <c r="B9" s="11">
        <v>28</v>
      </c>
      <c r="C9" s="11" t="s">
        <v>42</v>
      </c>
      <c r="D9" s="12" t="s">
        <v>43</v>
      </c>
      <c r="E9" s="13">
        <f>PRODUCT(B3,A3)</f>
        <v>23</v>
      </c>
    </row>
    <row r="10" spans="1:15" ht="21" x14ac:dyDescent="0.3">
      <c r="A10" s="11">
        <v>8</v>
      </c>
      <c r="B10" s="11">
        <v>29</v>
      </c>
      <c r="C10" s="11" t="s">
        <v>44</v>
      </c>
      <c r="D10" s="12" t="s">
        <v>45</v>
      </c>
      <c r="E10" s="13">
        <f>QUOTIENT(A8,A4)</f>
        <v>3</v>
      </c>
      <c r="H10" s="13" t="s">
        <v>46</v>
      </c>
    </row>
    <row r="11" spans="1:15" ht="21" x14ac:dyDescent="0.3">
      <c r="A11" s="11">
        <v>9</v>
      </c>
      <c r="B11" s="11">
        <v>30</v>
      </c>
      <c r="C11" s="11" t="s">
        <v>28</v>
      </c>
      <c r="D11" s="12" t="s">
        <v>47</v>
      </c>
      <c r="E11" s="13">
        <f>MOD(A8,A4)</f>
        <v>0</v>
      </c>
      <c r="H11" s="13" t="s">
        <v>48</v>
      </c>
    </row>
    <row r="12" spans="1:15" ht="21" x14ac:dyDescent="0.3">
      <c r="A12" s="11">
        <v>10</v>
      </c>
      <c r="B12" s="11">
        <v>31</v>
      </c>
      <c r="C12" s="11" t="s">
        <v>32</v>
      </c>
      <c r="D12" s="12" t="s">
        <v>49</v>
      </c>
      <c r="E12" s="13"/>
    </row>
    <row r="25" spans="1:14" ht="21" x14ac:dyDescent="0.3">
      <c r="A25" s="11">
        <v>3000</v>
      </c>
      <c r="B25" s="11">
        <v>1500</v>
      </c>
      <c r="C25" s="11" t="s">
        <v>13</v>
      </c>
      <c r="D25" s="12" t="s">
        <v>50</v>
      </c>
      <c r="E25" s="13"/>
      <c r="G25" s="5" t="s">
        <v>51</v>
      </c>
      <c r="H25" s="20"/>
      <c r="K25" s="5" t="s">
        <v>52</v>
      </c>
      <c r="L25" s="20"/>
      <c r="M25" s="20"/>
    </row>
    <row r="26" spans="1:14" ht="21" x14ac:dyDescent="0.3">
      <c r="A26" s="11">
        <v>4000</v>
      </c>
      <c r="B26" s="11">
        <v>1500</v>
      </c>
      <c r="C26" s="11" t="s">
        <v>44</v>
      </c>
      <c r="D26" s="12" t="s">
        <v>53</v>
      </c>
      <c r="E26" s="13"/>
    </row>
    <row r="27" spans="1:14" ht="21" x14ac:dyDescent="0.3">
      <c r="A27" s="11">
        <v>5000</v>
      </c>
      <c r="B27" s="11">
        <v>1500</v>
      </c>
      <c r="C27" s="11" t="s">
        <v>28</v>
      </c>
      <c r="D27" s="12" t="s">
        <v>54</v>
      </c>
      <c r="E27" s="13"/>
      <c r="G27" s="5" t="s">
        <v>55</v>
      </c>
      <c r="H27" s="20"/>
    </row>
    <row r="28" spans="1:14" ht="21" x14ac:dyDescent="0.3">
      <c r="A28" s="11">
        <v>6000</v>
      </c>
      <c r="B28" s="11">
        <v>13500</v>
      </c>
      <c r="C28" s="11" t="s">
        <v>42</v>
      </c>
      <c r="D28" s="12" t="s">
        <v>56</v>
      </c>
      <c r="E28" s="13"/>
    </row>
    <row r="30" spans="1:14" ht="15.6" x14ac:dyDescent="0.3">
      <c r="J30" s="3" t="s">
        <v>57</v>
      </c>
      <c r="K30" s="17"/>
      <c r="L30" s="17"/>
      <c r="M30" s="17"/>
      <c r="N30" s="18"/>
    </row>
    <row r="31" spans="1:14" x14ac:dyDescent="0.3">
      <c r="B31" s="21"/>
      <c r="C31" s="22" t="s">
        <v>58</v>
      </c>
      <c r="D31" s="18"/>
      <c r="H31" s="22" t="s">
        <v>59</v>
      </c>
      <c r="I31" s="18"/>
    </row>
    <row r="35" spans="1:9" ht="21" x14ac:dyDescent="0.3">
      <c r="A35" s="11">
        <v>15</v>
      </c>
      <c r="B35" s="11">
        <v>36</v>
      </c>
      <c r="C35" s="11" t="s">
        <v>28</v>
      </c>
      <c r="D35" s="12" t="s">
        <v>60</v>
      </c>
      <c r="E35" s="13"/>
      <c r="G35" s="23" t="s">
        <v>61</v>
      </c>
      <c r="H35" s="24"/>
      <c r="I35" s="25"/>
    </row>
    <row r="36" spans="1:9" ht="21" x14ac:dyDescent="0.3">
      <c r="A36" s="11">
        <v>16</v>
      </c>
      <c r="B36" s="11">
        <v>37</v>
      </c>
      <c r="C36" s="11" t="s">
        <v>42</v>
      </c>
      <c r="D36" s="12" t="s">
        <v>62</v>
      </c>
      <c r="E36" s="13"/>
      <c r="G36" s="23" t="s">
        <v>63</v>
      </c>
      <c r="H36" s="24"/>
      <c r="I36" s="25"/>
    </row>
    <row r="37" spans="1:9" ht="21" x14ac:dyDescent="0.3">
      <c r="A37" s="11">
        <v>17</v>
      </c>
      <c r="B37" s="11">
        <v>38</v>
      </c>
      <c r="C37" s="11" t="s">
        <v>28</v>
      </c>
      <c r="D37" s="12" t="s">
        <v>64</v>
      </c>
      <c r="E37" s="13"/>
      <c r="G37" s="23" t="s">
        <v>65</v>
      </c>
      <c r="H37" s="24"/>
      <c r="I37" s="25"/>
    </row>
    <row r="49" s="15" customFormat="1" x14ac:dyDescent="0.3"/>
    <row r="50" s="15" customFormat="1" x14ac:dyDescent="0.3"/>
    <row r="51" s="15" customFormat="1" x14ac:dyDescent="0.3"/>
    <row r="52" s="15" customFormat="1" x14ac:dyDescent="0.3"/>
    <row r="53" s="15" customFormat="1" x14ac:dyDescent="0.3"/>
    <row r="54" s="15" customFormat="1" x14ac:dyDescent="0.3"/>
    <row r="55" s="15" customFormat="1" x14ac:dyDescent="0.3"/>
    <row r="56" s="15" customFormat="1" x14ac:dyDescent="0.3"/>
    <row r="57" s="15" customFormat="1" x14ac:dyDescent="0.3"/>
    <row r="58" s="15" customFormat="1" x14ac:dyDescent="0.3"/>
    <row r="59" s="15" customFormat="1" x14ac:dyDescent="0.3"/>
    <row r="60" s="15" customFormat="1" x14ac:dyDescent="0.3"/>
    <row r="61" s="15" customFormat="1" x14ac:dyDescent="0.3"/>
    <row r="62" s="15" customFormat="1" x14ac:dyDescent="0.3"/>
    <row r="63" s="15" customFormat="1" x14ac:dyDescent="0.3"/>
    <row r="64" s="15" customFormat="1" x14ac:dyDescent="0.3"/>
    <row r="65" s="15" customFormat="1" x14ac:dyDescent="0.3"/>
    <row r="66" s="15" customFormat="1" x14ac:dyDescent="0.3"/>
    <row r="67" s="15" customFormat="1" x14ac:dyDescent="0.3"/>
    <row r="68" s="15" customFormat="1" x14ac:dyDescent="0.3"/>
    <row r="69" s="15" customFormat="1" x14ac:dyDescent="0.3"/>
    <row r="70" s="15" customFormat="1" x14ac:dyDescent="0.3"/>
    <row r="71" s="15" customFormat="1" x14ac:dyDescent="0.3"/>
    <row r="72" s="15" customFormat="1" x14ac:dyDescent="0.3"/>
    <row r="73" s="15" customFormat="1" x14ac:dyDescent="0.3"/>
    <row r="74" s="15" customFormat="1" x14ac:dyDescent="0.3"/>
    <row r="75" s="15" customFormat="1" x14ac:dyDescent="0.3"/>
    <row r="76" s="15" customFormat="1" x14ac:dyDescent="0.3"/>
    <row r="77" s="15" customFormat="1" x14ac:dyDescent="0.3"/>
    <row r="78" s="15" customFormat="1" x14ac:dyDescent="0.3"/>
    <row r="79" s="15" customFormat="1" x14ac:dyDescent="0.3"/>
    <row r="80" s="15" customFormat="1" x14ac:dyDescent="0.3"/>
    <row r="81" s="15" customFormat="1" x14ac:dyDescent="0.3"/>
    <row r="82" s="15" customFormat="1" x14ac:dyDescent="0.3"/>
    <row r="83" s="15" customFormat="1" x14ac:dyDescent="0.3"/>
    <row r="84" s="15" customFormat="1" x14ac:dyDescent="0.3"/>
    <row r="85" s="15" customFormat="1" x14ac:dyDescent="0.3"/>
    <row r="86" s="15" customFormat="1" x14ac:dyDescent="0.3"/>
    <row r="87" s="15" customFormat="1" x14ac:dyDescent="0.3"/>
    <row r="88" s="15" customFormat="1" x14ac:dyDescent="0.3"/>
    <row r="89" s="15" customFormat="1" x14ac:dyDescent="0.3"/>
    <row r="90" s="15" customFormat="1" x14ac:dyDescent="0.3"/>
    <row r="91" s="15" customFormat="1" x14ac:dyDescent="0.3"/>
    <row r="92" s="15" customFormat="1" x14ac:dyDescent="0.3"/>
    <row r="93" s="15" customFormat="1" x14ac:dyDescent="0.3"/>
    <row r="94" s="15" customFormat="1" x14ac:dyDescent="0.3"/>
    <row r="95" s="15" customFormat="1" x14ac:dyDescent="0.3"/>
    <row r="96" s="15" customFormat="1" x14ac:dyDescent="0.3"/>
    <row r="97" s="15" customFormat="1" x14ac:dyDescent="0.3"/>
    <row r="98" s="15" customFormat="1" x14ac:dyDescent="0.3"/>
    <row r="99" s="15" customFormat="1" x14ac:dyDescent="0.3"/>
    <row r="100" s="15" customFormat="1" x14ac:dyDescent="0.3"/>
    <row r="101" s="15" customFormat="1" x14ac:dyDescent="0.3"/>
    <row r="102" s="15" customFormat="1" x14ac:dyDescent="0.3"/>
    <row r="103" s="15" customFormat="1" x14ac:dyDescent="0.3"/>
    <row r="104" s="15" customFormat="1" x14ac:dyDescent="0.3"/>
    <row r="105" s="15" customFormat="1" x14ac:dyDescent="0.3"/>
    <row r="106" s="15" customFormat="1" x14ac:dyDescent="0.3"/>
    <row r="107" s="15" customFormat="1" x14ac:dyDescent="0.3"/>
    <row r="108" s="15" customFormat="1" x14ac:dyDescent="0.3"/>
    <row r="109" s="15" customFormat="1" x14ac:dyDescent="0.3"/>
    <row r="110" s="15" customFormat="1" x14ac:dyDescent="0.3"/>
    <row r="111" s="15" customFormat="1" x14ac:dyDescent="0.3"/>
    <row r="112" s="15" customFormat="1" x14ac:dyDescent="0.3"/>
    <row r="113" s="15" customFormat="1" x14ac:dyDescent="0.3"/>
    <row r="114" s="15" customFormat="1" x14ac:dyDescent="0.3"/>
    <row r="115" s="15" customFormat="1" x14ac:dyDescent="0.3"/>
    <row r="116" s="15" customFormat="1" x14ac:dyDescent="0.3"/>
    <row r="117" s="15" customFormat="1" x14ac:dyDescent="0.3"/>
    <row r="118" s="15" customFormat="1" x14ac:dyDescent="0.3"/>
    <row r="119" s="15" customFormat="1" x14ac:dyDescent="0.3"/>
    <row r="120" s="15" customFormat="1" x14ac:dyDescent="0.3"/>
    <row r="121" s="15" customFormat="1" x14ac:dyDescent="0.3"/>
    <row r="122" s="15" customFormat="1" x14ac:dyDescent="0.3"/>
    <row r="123" s="15" customFormat="1" x14ac:dyDescent="0.3"/>
    <row r="124" s="15" customFormat="1" x14ac:dyDescent="0.3"/>
    <row r="125" s="15" customFormat="1" x14ac:dyDescent="0.3"/>
    <row r="126" s="15" customFormat="1" x14ac:dyDescent="0.3"/>
    <row r="127" s="15" customFormat="1" x14ac:dyDescent="0.3"/>
    <row r="128" s="15" customFormat="1" x14ac:dyDescent="0.3"/>
    <row r="129" s="15" customFormat="1" x14ac:dyDescent="0.3"/>
    <row r="130" s="15" customFormat="1" x14ac:dyDescent="0.3"/>
    <row r="131" s="15" customFormat="1" x14ac:dyDescent="0.3"/>
    <row r="132" s="15" customFormat="1" x14ac:dyDescent="0.3"/>
    <row r="133" s="15" customFormat="1" x14ac:dyDescent="0.3"/>
    <row r="134" s="15" customFormat="1" x14ac:dyDescent="0.3"/>
    <row r="135" s="15" customFormat="1" x14ac:dyDescent="0.3"/>
    <row r="136" s="15" customFormat="1" x14ac:dyDescent="0.3"/>
    <row r="137" s="15" customFormat="1" x14ac:dyDescent="0.3"/>
    <row r="138" s="15" customFormat="1" x14ac:dyDescent="0.3"/>
    <row r="139" s="15" customFormat="1" x14ac:dyDescent="0.3"/>
    <row r="140" s="15" customFormat="1" x14ac:dyDescent="0.3"/>
    <row r="141" s="15" customFormat="1" x14ac:dyDescent="0.3"/>
    <row r="142" s="15" customFormat="1" x14ac:dyDescent="0.3"/>
    <row r="143" s="15" customFormat="1" x14ac:dyDescent="0.3"/>
    <row r="144" s="15" customFormat="1" x14ac:dyDescent="0.3"/>
    <row r="145" s="15" customFormat="1" x14ac:dyDescent="0.3"/>
    <row r="146" s="15" customFormat="1" x14ac:dyDescent="0.3"/>
    <row r="147" s="15" customFormat="1" x14ac:dyDescent="0.3"/>
    <row r="148" s="15" customFormat="1" x14ac:dyDescent="0.3"/>
    <row r="149" s="15" customFormat="1" x14ac:dyDescent="0.3"/>
    <row r="150" s="15" customFormat="1" x14ac:dyDescent="0.3"/>
    <row r="151" s="15" customFormat="1" x14ac:dyDescent="0.3"/>
    <row r="152" s="15" customFormat="1" x14ac:dyDescent="0.3"/>
    <row r="153" s="15" customFormat="1" x14ac:dyDescent="0.3"/>
    <row r="154" s="15" customFormat="1" x14ac:dyDescent="0.3"/>
    <row r="155" s="15" customFormat="1" x14ac:dyDescent="0.3"/>
    <row r="156" s="15" customFormat="1" x14ac:dyDescent="0.3"/>
    <row r="157" s="15" customFormat="1" x14ac:dyDescent="0.3"/>
    <row r="158" s="15" customFormat="1" x14ac:dyDescent="0.3"/>
    <row r="159" s="15" customFormat="1" x14ac:dyDescent="0.3"/>
    <row r="160" s="15" customFormat="1" x14ac:dyDescent="0.3"/>
    <row r="161" s="15" customFormat="1" x14ac:dyDescent="0.3"/>
    <row r="162" s="15" customFormat="1" x14ac:dyDescent="0.3"/>
    <row r="163" s="15" customFormat="1" x14ac:dyDescent="0.3"/>
    <row r="164" s="15" customFormat="1" x14ac:dyDescent="0.3"/>
    <row r="165" s="15" customFormat="1" x14ac:dyDescent="0.3"/>
    <row r="166" s="15" customFormat="1" x14ac:dyDescent="0.3"/>
    <row r="167" s="15" customFormat="1" x14ac:dyDescent="0.3"/>
    <row r="168" s="15" customFormat="1" x14ac:dyDescent="0.3"/>
    <row r="169" s="15" customFormat="1" x14ac:dyDescent="0.3"/>
    <row r="170" s="15" customFormat="1" x14ac:dyDescent="0.3"/>
    <row r="171" s="15" customFormat="1" x14ac:dyDescent="0.3"/>
    <row r="172" s="15" customFormat="1" x14ac:dyDescent="0.3"/>
    <row r="173" s="15" customFormat="1" x14ac:dyDescent="0.3"/>
    <row r="174" s="15" customFormat="1" x14ac:dyDescent="0.3"/>
    <row r="175" s="15" customFormat="1" x14ac:dyDescent="0.3"/>
    <row r="176" s="15" customFormat="1" x14ac:dyDescent="0.3"/>
    <row r="177" s="15" customFormat="1" x14ac:dyDescent="0.3"/>
    <row r="178" s="15" customFormat="1" x14ac:dyDescent="0.3"/>
    <row r="179" s="15" customFormat="1" x14ac:dyDescent="0.3"/>
    <row r="180" s="15" customFormat="1" x14ac:dyDescent="0.3"/>
    <row r="181" s="15" customFormat="1" x14ac:dyDescent="0.3"/>
    <row r="182" s="15" customFormat="1" x14ac:dyDescent="0.3"/>
    <row r="183" s="15" customFormat="1" x14ac:dyDescent="0.3"/>
    <row r="184" s="15" customFormat="1" x14ac:dyDescent="0.3"/>
    <row r="185" s="15" customFormat="1" x14ac:dyDescent="0.3"/>
    <row r="186" s="15" customFormat="1" x14ac:dyDescent="0.3"/>
    <row r="187" s="15" customFormat="1" x14ac:dyDescent="0.3"/>
    <row r="188" s="15" customFormat="1" x14ac:dyDescent="0.3"/>
    <row r="189" s="15" customFormat="1" x14ac:dyDescent="0.3"/>
    <row r="190" s="15" customFormat="1" x14ac:dyDescent="0.3"/>
    <row r="191" s="15" customFormat="1" x14ac:dyDescent="0.3"/>
    <row r="192" s="15" customFormat="1" x14ac:dyDescent="0.3"/>
    <row r="193" s="15" customFormat="1" x14ac:dyDescent="0.3"/>
    <row r="194" s="15" customFormat="1" x14ac:dyDescent="0.3"/>
    <row r="195" s="15" customFormat="1" x14ac:dyDescent="0.3"/>
    <row r="196" s="15" customFormat="1" x14ac:dyDescent="0.3"/>
    <row r="197" s="15" customFormat="1" x14ac:dyDescent="0.3"/>
    <row r="198" s="15" customFormat="1" x14ac:dyDescent="0.3"/>
    <row r="199" s="15" customFormat="1" x14ac:dyDescent="0.3"/>
    <row r="200" s="15" customFormat="1" x14ac:dyDescent="0.3"/>
    <row r="201" s="15" customFormat="1" x14ac:dyDescent="0.3"/>
    <row r="202" s="15" customFormat="1" x14ac:dyDescent="0.3"/>
    <row r="203" s="15" customFormat="1" x14ac:dyDescent="0.3"/>
    <row r="204" s="15" customFormat="1" x14ac:dyDescent="0.3"/>
    <row r="205" s="15" customFormat="1" x14ac:dyDescent="0.3"/>
    <row r="206" s="15" customFormat="1" x14ac:dyDescent="0.3"/>
    <row r="207" s="15" customFormat="1" x14ac:dyDescent="0.3"/>
    <row r="208" s="15" customFormat="1" x14ac:dyDescent="0.3"/>
    <row r="209" s="15" customFormat="1" x14ac:dyDescent="0.3"/>
    <row r="210" s="15" customFormat="1" x14ac:dyDescent="0.3"/>
    <row r="211" s="15" customFormat="1" x14ac:dyDescent="0.3"/>
    <row r="212" s="15" customFormat="1" x14ac:dyDescent="0.3"/>
    <row r="213" s="15" customFormat="1" x14ac:dyDescent="0.3"/>
    <row r="214" s="15" customFormat="1" x14ac:dyDescent="0.3"/>
    <row r="215" s="15" customFormat="1" x14ac:dyDescent="0.3"/>
    <row r="216" s="15" customFormat="1" x14ac:dyDescent="0.3"/>
    <row r="217" s="15" customFormat="1" x14ac:dyDescent="0.3"/>
    <row r="218" s="15" customFormat="1" x14ac:dyDescent="0.3"/>
    <row r="219" s="15" customFormat="1" x14ac:dyDescent="0.3"/>
    <row r="220" s="15" customFormat="1" x14ac:dyDescent="0.3"/>
    <row r="221" s="15" customFormat="1" x14ac:dyDescent="0.3"/>
    <row r="222" s="15" customFormat="1" x14ac:dyDescent="0.3"/>
    <row r="223" s="15" customFormat="1" x14ac:dyDescent="0.3"/>
    <row r="224" s="15" customFormat="1" x14ac:dyDescent="0.3"/>
    <row r="225" s="15" customFormat="1" x14ac:dyDescent="0.3"/>
    <row r="226" s="15" customFormat="1" x14ac:dyDescent="0.3"/>
    <row r="227" s="15" customFormat="1" x14ac:dyDescent="0.3"/>
    <row r="228" s="15" customFormat="1" x14ac:dyDescent="0.3"/>
    <row r="229" s="15" customFormat="1" x14ac:dyDescent="0.3"/>
    <row r="230" s="15" customFormat="1" x14ac:dyDescent="0.3"/>
    <row r="231" s="15" customFormat="1" x14ac:dyDescent="0.3"/>
    <row r="232" s="15" customFormat="1" x14ac:dyDescent="0.3"/>
    <row r="233" s="15" customFormat="1" x14ac:dyDescent="0.3"/>
    <row r="234" s="15" customFormat="1" x14ac:dyDescent="0.3"/>
    <row r="235" s="15" customFormat="1" x14ac:dyDescent="0.3"/>
    <row r="236" s="15" customFormat="1" x14ac:dyDescent="0.3"/>
    <row r="237" s="15" customFormat="1" x14ac:dyDescent="0.3"/>
    <row r="238" s="15" customFormat="1" x14ac:dyDescent="0.3"/>
    <row r="239" s="15" customFormat="1" x14ac:dyDescent="0.3"/>
    <row r="240" s="15" customFormat="1" x14ac:dyDescent="0.3"/>
    <row r="241" s="15" customFormat="1" x14ac:dyDescent="0.3"/>
    <row r="242" s="15" customFormat="1" x14ac:dyDescent="0.3"/>
    <row r="243" s="15" customFormat="1" x14ac:dyDescent="0.3"/>
    <row r="244" s="15" customFormat="1" x14ac:dyDescent="0.3"/>
    <row r="245" s="15" customFormat="1" x14ac:dyDescent="0.3"/>
    <row r="246" s="15" customFormat="1" x14ac:dyDescent="0.3"/>
    <row r="247" s="15" customFormat="1" x14ac:dyDescent="0.3"/>
    <row r="248" s="15" customFormat="1" x14ac:dyDescent="0.3"/>
    <row r="249" s="15" customFormat="1" x14ac:dyDescent="0.3"/>
    <row r="250" s="15" customFormat="1" x14ac:dyDescent="0.3"/>
    <row r="251" s="15" customFormat="1" x14ac:dyDescent="0.3"/>
    <row r="252" s="15" customFormat="1" x14ac:dyDescent="0.3"/>
    <row r="253" s="15" customFormat="1" x14ac:dyDescent="0.3"/>
    <row r="254" s="15" customFormat="1" x14ac:dyDescent="0.3"/>
    <row r="255" s="15" customFormat="1" x14ac:dyDescent="0.3"/>
    <row r="256" s="15" customFormat="1" x14ac:dyDescent="0.3"/>
    <row r="257" s="15" customFormat="1" x14ac:dyDescent="0.3"/>
    <row r="258" s="15" customFormat="1" x14ac:dyDescent="0.3"/>
    <row r="259" s="15" customFormat="1" x14ac:dyDescent="0.3"/>
    <row r="260" s="15" customFormat="1" x14ac:dyDescent="0.3"/>
    <row r="261" s="15" customFormat="1" x14ac:dyDescent="0.3"/>
    <row r="262" s="15" customFormat="1" x14ac:dyDescent="0.3"/>
    <row r="263" s="15" customFormat="1" x14ac:dyDescent="0.3"/>
    <row r="264" s="15" customFormat="1" x14ac:dyDescent="0.3"/>
    <row r="265" s="15" customFormat="1" x14ac:dyDescent="0.3"/>
    <row r="266" s="15" customFormat="1" x14ac:dyDescent="0.3"/>
    <row r="267" s="15" customFormat="1" x14ac:dyDescent="0.3"/>
    <row r="268" s="15" customFormat="1" x14ac:dyDescent="0.3"/>
    <row r="269" s="15" customFormat="1" x14ac:dyDescent="0.3"/>
    <row r="270" s="15" customFormat="1" x14ac:dyDescent="0.3"/>
    <row r="271" s="15" customFormat="1" x14ac:dyDescent="0.3"/>
    <row r="272" s="15" customFormat="1" x14ac:dyDescent="0.3"/>
    <row r="273" s="15" customFormat="1" x14ac:dyDescent="0.3"/>
    <row r="274" s="15" customFormat="1" x14ac:dyDescent="0.3"/>
    <row r="275" s="15" customFormat="1" x14ac:dyDescent="0.3"/>
    <row r="276" s="15" customFormat="1" x14ac:dyDescent="0.3"/>
    <row r="277" s="15" customFormat="1" x14ac:dyDescent="0.3"/>
    <row r="278" s="15" customFormat="1" x14ac:dyDescent="0.3"/>
    <row r="279" s="15" customFormat="1" x14ac:dyDescent="0.3"/>
    <row r="280" s="15" customFormat="1" x14ac:dyDescent="0.3"/>
    <row r="281" s="15" customFormat="1" x14ac:dyDescent="0.3"/>
    <row r="282" s="15" customFormat="1" x14ac:dyDescent="0.3"/>
    <row r="283" s="15" customFormat="1" x14ac:dyDescent="0.3"/>
    <row r="284" s="15" customFormat="1" x14ac:dyDescent="0.3"/>
    <row r="285" s="15" customFormat="1" x14ac:dyDescent="0.3"/>
    <row r="286" s="15" customFormat="1" x14ac:dyDescent="0.3"/>
    <row r="287" s="15" customFormat="1" x14ac:dyDescent="0.3"/>
    <row r="288" s="15" customFormat="1" x14ac:dyDescent="0.3"/>
    <row r="289" s="15" customFormat="1" x14ac:dyDescent="0.3"/>
    <row r="290" s="15" customFormat="1" x14ac:dyDescent="0.3"/>
    <row r="291" s="15" customFormat="1" x14ac:dyDescent="0.3"/>
    <row r="292" s="15" customFormat="1" x14ac:dyDescent="0.3"/>
    <row r="293" s="15" customFormat="1" x14ac:dyDescent="0.3"/>
    <row r="294" s="15" customFormat="1" x14ac:dyDescent="0.3"/>
    <row r="295" s="15" customFormat="1" x14ac:dyDescent="0.3"/>
    <row r="296" s="15" customFormat="1" x14ac:dyDescent="0.3"/>
    <row r="297" s="15" customFormat="1" x14ac:dyDescent="0.3"/>
    <row r="298" s="15" customFormat="1" x14ac:dyDescent="0.3"/>
    <row r="299" s="15" customFormat="1" x14ac:dyDescent="0.3"/>
    <row r="300" s="15" customFormat="1" x14ac:dyDescent="0.3"/>
    <row r="301" s="15" customFormat="1" x14ac:dyDescent="0.3"/>
    <row r="302" s="15" customFormat="1" x14ac:dyDescent="0.3"/>
    <row r="303" s="15" customFormat="1" x14ac:dyDescent="0.3"/>
    <row r="304" s="15" customFormat="1" x14ac:dyDescent="0.3"/>
    <row r="305" s="15" customFormat="1" x14ac:dyDescent="0.3"/>
    <row r="306" s="15" customFormat="1" x14ac:dyDescent="0.3"/>
    <row r="307" s="15" customFormat="1" x14ac:dyDescent="0.3"/>
    <row r="308" s="15" customFormat="1" x14ac:dyDescent="0.3"/>
    <row r="309" s="15" customFormat="1" x14ac:dyDescent="0.3"/>
    <row r="310" s="15" customFormat="1" x14ac:dyDescent="0.3"/>
    <row r="311" s="15" customFormat="1" x14ac:dyDescent="0.3"/>
    <row r="312" s="15" customFormat="1" x14ac:dyDescent="0.3"/>
    <row r="313" s="15" customFormat="1" x14ac:dyDescent="0.3"/>
    <row r="314" s="15" customFormat="1" x14ac:dyDescent="0.3"/>
    <row r="315" s="15" customFormat="1" x14ac:dyDescent="0.3"/>
    <row r="316" s="15" customFormat="1" x14ac:dyDescent="0.3"/>
    <row r="317" s="15" customFormat="1" x14ac:dyDescent="0.3"/>
    <row r="318" s="15" customFormat="1" x14ac:dyDescent="0.3"/>
    <row r="319" s="15" customFormat="1" x14ac:dyDescent="0.3"/>
    <row r="320" s="15" customFormat="1" x14ac:dyDescent="0.3"/>
    <row r="321" s="15" customFormat="1" x14ac:dyDescent="0.3"/>
    <row r="322" s="15" customFormat="1" x14ac:dyDescent="0.3"/>
    <row r="323" s="15" customFormat="1" x14ac:dyDescent="0.3"/>
    <row r="324" s="15" customFormat="1" x14ac:dyDescent="0.3"/>
    <row r="325" s="15" customFormat="1" x14ac:dyDescent="0.3"/>
    <row r="326" s="15" customFormat="1" x14ac:dyDescent="0.3"/>
    <row r="327" s="15" customFormat="1" x14ac:dyDescent="0.3"/>
    <row r="328" s="15" customFormat="1" x14ac:dyDescent="0.3"/>
    <row r="329" s="15" customFormat="1" x14ac:dyDescent="0.3"/>
    <row r="330" s="15" customFormat="1" x14ac:dyDescent="0.3"/>
    <row r="331" s="15" customFormat="1" x14ac:dyDescent="0.3"/>
    <row r="332" s="15" customFormat="1" x14ac:dyDescent="0.3"/>
    <row r="333" s="15" customFormat="1" x14ac:dyDescent="0.3"/>
    <row r="334" s="15" customFormat="1" x14ac:dyDescent="0.3"/>
    <row r="335" s="15" customFormat="1" x14ac:dyDescent="0.3"/>
    <row r="336" s="15" customFormat="1" x14ac:dyDescent="0.3"/>
    <row r="337" s="15" customFormat="1" x14ac:dyDescent="0.3"/>
    <row r="338" s="15" customFormat="1" x14ac:dyDescent="0.3"/>
    <row r="339" s="15" customFormat="1" x14ac:dyDescent="0.3"/>
    <row r="340" s="15" customFormat="1" x14ac:dyDescent="0.3"/>
    <row r="341" s="15" customFormat="1" x14ac:dyDescent="0.3"/>
    <row r="342" s="15" customFormat="1" x14ac:dyDescent="0.3"/>
    <row r="343" s="15" customFormat="1" x14ac:dyDescent="0.3"/>
    <row r="344" s="15" customFormat="1" x14ac:dyDescent="0.3"/>
    <row r="345" s="15" customFormat="1" x14ac:dyDescent="0.3"/>
    <row r="346" s="15" customFormat="1" x14ac:dyDescent="0.3"/>
    <row r="347" s="15" customFormat="1" x14ac:dyDescent="0.3"/>
    <row r="348" s="15" customFormat="1" x14ac:dyDescent="0.3"/>
    <row r="349" s="15" customFormat="1" x14ac:dyDescent="0.3"/>
    <row r="350" s="15" customFormat="1" x14ac:dyDescent="0.3"/>
    <row r="351" s="15" customFormat="1" x14ac:dyDescent="0.3"/>
    <row r="352" s="15" customFormat="1" x14ac:dyDescent="0.3"/>
    <row r="353" s="15" customFormat="1" x14ac:dyDescent="0.3"/>
    <row r="354" s="15" customFormat="1" x14ac:dyDescent="0.3"/>
    <row r="355" s="15" customFormat="1" x14ac:dyDescent="0.3"/>
    <row r="356" s="15" customFormat="1" x14ac:dyDescent="0.3"/>
    <row r="357" s="15" customFormat="1" x14ac:dyDescent="0.3"/>
    <row r="358" s="15" customFormat="1" x14ac:dyDescent="0.3"/>
    <row r="359" s="15" customFormat="1" x14ac:dyDescent="0.3"/>
    <row r="360" s="15" customFormat="1" x14ac:dyDescent="0.3"/>
    <row r="361" s="15" customFormat="1" x14ac:dyDescent="0.3"/>
    <row r="362" s="15" customFormat="1" x14ac:dyDescent="0.3"/>
    <row r="363" s="15" customFormat="1" x14ac:dyDescent="0.3"/>
    <row r="364" s="15" customFormat="1" x14ac:dyDescent="0.3"/>
    <row r="365" s="15" customFormat="1" x14ac:dyDescent="0.3"/>
    <row r="366" s="15" customFormat="1" x14ac:dyDescent="0.3"/>
    <row r="367" s="15" customFormat="1" x14ac:dyDescent="0.3"/>
    <row r="368" s="15" customFormat="1" x14ac:dyDescent="0.3"/>
    <row r="369" s="15" customFormat="1" x14ac:dyDescent="0.3"/>
    <row r="370" s="15" customFormat="1" x14ac:dyDescent="0.3"/>
    <row r="371" s="15" customFormat="1" x14ac:dyDescent="0.3"/>
    <row r="372" s="15" customFormat="1" x14ac:dyDescent="0.3"/>
    <row r="373" s="15" customFormat="1" x14ac:dyDescent="0.3"/>
    <row r="374" s="15" customFormat="1" x14ac:dyDescent="0.3"/>
    <row r="375" s="15" customFormat="1" x14ac:dyDescent="0.3"/>
    <row r="376" s="15" customFormat="1" x14ac:dyDescent="0.3"/>
    <row r="377" s="15" customFormat="1" x14ac:dyDescent="0.3"/>
    <row r="378" s="15" customFormat="1" x14ac:dyDescent="0.3"/>
    <row r="379" s="15" customFormat="1" x14ac:dyDescent="0.3"/>
    <row r="380" s="15" customFormat="1" x14ac:dyDescent="0.3"/>
    <row r="381" s="15" customFormat="1" x14ac:dyDescent="0.3"/>
    <row r="382" s="15" customFormat="1" x14ac:dyDescent="0.3"/>
    <row r="383" s="15" customFormat="1" x14ac:dyDescent="0.3"/>
    <row r="384" s="15" customFormat="1" x14ac:dyDescent="0.3"/>
    <row r="385" s="15" customFormat="1" x14ac:dyDescent="0.3"/>
    <row r="386" s="15" customFormat="1" x14ac:dyDescent="0.3"/>
    <row r="387" s="15" customFormat="1" x14ac:dyDescent="0.3"/>
    <row r="388" s="15" customFormat="1" x14ac:dyDescent="0.3"/>
    <row r="389" s="15" customFormat="1" x14ac:dyDescent="0.3"/>
    <row r="390" s="15" customFormat="1" x14ac:dyDescent="0.3"/>
    <row r="391" s="15" customFormat="1" x14ac:dyDescent="0.3"/>
    <row r="392" s="15" customFormat="1" x14ac:dyDescent="0.3"/>
    <row r="393" s="15" customFormat="1" x14ac:dyDescent="0.3"/>
    <row r="394" s="15" customFormat="1" x14ac:dyDescent="0.3"/>
    <row r="395" s="15" customFormat="1" x14ac:dyDescent="0.3"/>
    <row r="396" s="15" customFormat="1" x14ac:dyDescent="0.3"/>
    <row r="397" s="15" customFormat="1" x14ac:dyDescent="0.3"/>
    <row r="398" s="15" customFormat="1" x14ac:dyDescent="0.3"/>
    <row r="399" s="15" customFormat="1" x14ac:dyDescent="0.3"/>
    <row r="400" s="15" customFormat="1" x14ac:dyDescent="0.3"/>
    <row r="401" s="15" customFormat="1" x14ac:dyDescent="0.3"/>
    <row r="402" s="15" customFormat="1" x14ac:dyDescent="0.3"/>
    <row r="403" s="15" customFormat="1" x14ac:dyDescent="0.3"/>
    <row r="404" s="15" customFormat="1" x14ac:dyDescent="0.3"/>
    <row r="405" s="15" customFormat="1" x14ac:dyDescent="0.3"/>
    <row r="406" s="15" customFormat="1" x14ac:dyDescent="0.3"/>
    <row r="407" s="15" customFormat="1" x14ac:dyDescent="0.3"/>
    <row r="408" s="15" customFormat="1" x14ac:dyDescent="0.3"/>
    <row r="409" s="15" customFormat="1" x14ac:dyDescent="0.3"/>
    <row r="410" s="15" customFormat="1" x14ac:dyDescent="0.3"/>
    <row r="411" s="15" customFormat="1" x14ac:dyDescent="0.3"/>
    <row r="412" s="15" customFormat="1" x14ac:dyDescent="0.3"/>
    <row r="413" s="15" customFormat="1" x14ac:dyDescent="0.3"/>
    <row r="414" s="15" customFormat="1" x14ac:dyDescent="0.3"/>
    <row r="415" s="15" customFormat="1" x14ac:dyDescent="0.3"/>
    <row r="416" s="15" customFormat="1" x14ac:dyDescent="0.3"/>
    <row r="417" s="15" customFormat="1" x14ac:dyDescent="0.3"/>
    <row r="418" s="15" customFormat="1" x14ac:dyDescent="0.3"/>
    <row r="419" s="15" customFormat="1" x14ac:dyDescent="0.3"/>
    <row r="420" s="15" customFormat="1" x14ac:dyDescent="0.3"/>
    <row r="421" s="15" customFormat="1" x14ac:dyDescent="0.3"/>
    <row r="422" s="15" customFormat="1" x14ac:dyDescent="0.3"/>
    <row r="423" s="15" customFormat="1" x14ac:dyDescent="0.3"/>
    <row r="424" s="15" customFormat="1" x14ac:dyDescent="0.3"/>
    <row r="425" s="15" customFormat="1" x14ac:dyDescent="0.3"/>
    <row r="426" s="15" customFormat="1" x14ac:dyDescent="0.3"/>
    <row r="427" s="15" customFormat="1" x14ac:dyDescent="0.3"/>
    <row r="428" s="15" customFormat="1" x14ac:dyDescent="0.3"/>
    <row r="429" s="15" customFormat="1" x14ac:dyDescent="0.3"/>
    <row r="430" s="15" customFormat="1" x14ac:dyDescent="0.3"/>
    <row r="431" s="15" customFormat="1" x14ac:dyDescent="0.3"/>
    <row r="432" s="15" customFormat="1" x14ac:dyDescent="0.3"/>
    <row r="433" s="15" customFormat="1" x14ac:dyDescent="0.3"/>
    <row r="434" s="15" customFormat="1" x14ac:dyDescent="0.3"/>
    <row r="435" s="15" customFormat="1" x14ac:dyDescent="0.3"/>
    <row r="436" s="15" customFormat="1" x14ac:dyDescent="0.3"/>
    <row r="437" s="15" customFormat="1" x14ac:dyDescent="0.3"/>
    <row r="438" s="15" customFormat="1" x14ac:dyDescent="0.3"/>
    <row r="439" s="15" customFormat="1" x14ac:dyDescent="0.3"/>
    <row r="440" s="15" customFormat="1" x14ac:dyDescent="0.3"/>
    <row r="441" s="15" customFormat="1" x14ac:dyDescent="0.3"/>
    <row r="442" s="15" customFormat="1" x14ac:dyDescent="0.3"/>
    <row r="443" s="15" customFormat="1" x14ac:dyDescent="0.3"/>
    <row r="444" s="15" customFormat="1" x14ac:dyDescent="0.3"/>
    <row r="445" s="15" customFormat="1" x14ac:dyDescent="0.3"/>
    <row r="446" s="15" customFormat="1" x14ac:dyDescent="0.3"/>
    <row r="447" s="15" customFormat="1" x14ac:dyDescent="0.3"/>
    <row r="448" s="15" customFormat="1" x14ac:dyDescent="0.3"/>
    <row r="449" s="15" customFormat="1" x14ac:dyDescent="0.3"/>
    <row r="450" s="15" customFormat="1" x14ac:dyDescent="0.3"/>
    <row r="451" s="15" customFormat="1" x14ac:dyDescent="0.3"/>
    <row r="452" s="15" customFormat="1" x14ac:dyDescent="0.3"/>
    <row r="453" s="15" customFormat="1" x14ac:dyDescent="0.3"/>
    <row r="454" s="15" customFormat="1" x14ac:dyDescent="0.3"/>
    <row r="455" s="15" customFormat="1" x14ac:dyDescent="0.3"/>
    <row r="456" s="15" customFormat="1" x14ac:dyDescent="0.3"/>
    <row r="457" s="15" customFormat="1" x14ac:dyDescent="0.3"/>
    <row r="458" s="15" customFormat="1" x14ac:dyDescent="0.3"/>
    <row r="459" s="15" customFormat="1" x14ac:dyDescent="0.3"/>
    <row r="460" s="15" customFormat="1" x14ac:dyDescent="0.3"/>
    <row r="461" s="15" customFormat="1" x14ac:dyDescent="0.3"/>
    <row r="462" s="15" customFormat="1" x14ac:dyDescent="0.3"/>
    <row r="463" s="15" customFormat="1" x14ac:dyDescent="0.3"/>
    <row r="464" s="15" customFormat="1" x14ac:dyDescent="0.3"/>
    <row r="465" s="15" customFormat="1" x14ac:dyDescent="0.3"/>
    <row r="466" s="15" customFormat="1" x14ac:dyDescent="0.3"/>
    <row r="467" s="15" customFormat="1" x14ac:dyDescent="0.3"/>
    <row r="468" s="15" customFormat="1" x14ac:dyDescent="0.3"/>
    <row r="469" s="15" customFormat="1" x14ac:dyDescent="0.3"/>
    <row r="470" s="15" customFormat="1" x14ac:dyDescent="0.3"/>
    <row r="471" s="15" customFormat="1" x14ac:dyDescent="0.3"/>
    <row r="472" s="15" customFormat="1" x14ac:dyDescent="0.3"/>
    <row r="473" s="15" customFormat="1" x14ac:dyDescent="0.3"/>
    <row r="474" s="15" customFormat="1" x14ac:dyDescent="0.3"/>
    <row r="475" s="15" customFormat="1" x14ac:dyDescent="0.3"/>
    <row r="476" s="15" customFormat="1" x14ac:dyDescent="0.3"/>
    <row r="477" s="15" customFormat="1" x14ac:dyDescent="0.3"/>
    <row r="478" s="15" customFormat="1" x14ac:dyDescent="0.3"/>
    <row r="479" s="15" customFormat="1" x14ac:dyDescent="0.3"/>
    <row r="480" s="15" customFormat="1" x14ac:dyDescent="0.3"/>
    <row r="481" s="15" customFormat="1" x14ac:dyDescent="0.3"/>
    <row r="482" s="15" customFormat="1" x14ac:dyDescent="0.3"/>
    <row r="483" s="15" customFormat="1" x14ac:dyDescent="0.3"/>
    <row r="484" s="15" customFormat="1" x14ac:dyDescent="0.3"/>
    <row r="485" s="15" customFormat="1" x14ac:dyDescent="0.3"/>
    <row r="486" s="15" customFormat="1" x14ac:dyDescent="0.3"/>
    <row r="487" s="15" customFormat="1" x14ac:dyDescent="0.3"/>
    <row r="488" s="15" customFormat="1" x14ac:dyDescent="0.3"/>
    <row r="489" s="15" customFormat="1" x14ac:dyDescent="0.3"/>
    <row r="490" s="15" customFormat="1" x14ac:dyDescent="0.3"/>
    <row r="491" s="15" customFormat="1" x14ac:dyDescent="0.3"/>
    <row r="492" s="15" customFormat="1" x14ac:dyDescent="0.3"/>
    <row r="493" s="15" customFormat="1" x14ac:dyDescent="0.3"/>
    <row r="494" s="15" customFormat="1" x14ac:dyDescent="0.3"/>
    <row r="495" s="15" customFormat="1" x14ac:dyDescent="0.3"/>
    <row r="496" s="15" customFormat="1" x14ac:dyDescent="0.3"/>
    <row r="497" s="15" customFormat="1" x14ac:dyDescent="0.3"/>
    <row r="498" s="15" customFormat="1" x14ac:dyDescent="0.3"/>
    <row r="499" s="15" customFormat="1" x14ac:dyDescent="0.3"/>
    <row r="500" s="15" customFormat="1" x14ac:dyDescent="0.3"/>
    <row r="501" s="15" customFormat="1" x14ac:dyDescent="0.3"/>
    <row r="502" s="15" customFormat="1" x14ac:dyDescent="0.3"/>
    <row r="503" s="15" customFormat="1" x14ac:dyDescent="0.3"/>
    <row r="504" s="15" customFormat="1" x14ac:dyDescent="0.3"/>
    <row r="505" s="15" customFormat="1" x14ac:dyDescent="0.3"/>
    <row r="506" s="15" customFormat="1" x14ac:dyDescent="0.3"/>
    <row r="507" s="15" customFormat="1" x14ac:dyDescent="0.3"/>
    <row r="508" s="15" customFormat="1" x14ac:dyDescent="0.3"/>
    <row r="509" s="15" customFormat="1" x14ac:dyDescent="0.3"/>
    <row r="510" s="15" customFormat="1" x14ac:dyDescent="0.3"/>
    <row r="511" s="15" customFormat="1" x14ac:dyDescent="0.3"/>
    <row r="512" s="15" customFormat="1" x14ac:dyDescent="0.3"/>
    <row r="513" s="15" customFormat="1" x14ac:dyDescent="0.3"/>
    <row r="514" s="15" customFormat="1" x14ac:dyDescent="0.3"/>
    <row r="515" s="15" customFormat="1" x14ac:dyDescent="0.3"/>
    <row r="516" s="15" customFormat="1" x14ac:dyDescent="0.3"/>
    <row r="517" s="15" customFormat="1" x14ac:dyDescent="0.3"/>
    <row r="518" s="15" customFormat="1" x14ac:dyDescent="0.3"/>
    <row r="519" s="15" customFormat="1" x14ac:dyDescent="0.3"/>
    <row r="520" s="15" customFormat="1" x14ac:dyDescent="0.3"/>
    <row r="521" s="15" customFormat="1" x14ac:dyDescent="0.3"/>
    <row r="522" s="15" customFormat="1" x14ac:dyDescent="0.3"/>
    <row r="523" s="15" customFormat="1" x14ac:dyDescent="0.3"/>
    <row r="524" s="15" customFormat="1" x14ac:dyDescent="0.3"/>
    <row r="525" s="15" customFormat="1" x14ac:dyDescent="0.3"/>
    <row r="526" s="15" customFormat="1" x14ac:dyDescent="0.3"/>
    <row r="527" s="15" customFormat="1" x14ac:dyDescent="0.3"/>
    <row r="528" s="15" customFormat="1" x14ac:dyDescent="0.3"/>
    <row r="529" s="15" customFormat="1" x14ac:dyDescent="0.3"/>
    <row r="530" s="15" customFormat="1" x14ac:dyDescent="0.3"/>
    <row r="531" s="15" customFormat="1" x14ac:dyDescent="0.3"/>
    <row r="532" s="15" customFormat="1" x14ac:dyDescent="0.3"/>
    <row r="533" s="15" customFormat="1" x14ac:dyDescent="0.3"/>
    <row r="534" s="15" customFormat="1" x14ac:dyDescent="0.3"/>
    <row r="535" s="15" customFormat="1" x14ac:dyDescent="0.3"/>
    <row r="536" s="15" customFormat="1" x14ac:dyDescent="0.3"/>
    <row r="537" s="15" customFormat="1" x14ac:dyDescent="0.3"/>
    <row r="538" s="15" customFormat="1" x14ac:dyDescent="0.3"/>
    <row r="539" s="15" customFormat="1" x14ac:dyDescent="0.3"/>
    <row r="540" s="15" customFormat="1" x14ac:dyDescent="0.3"/>
    <row r="541" s="15" customFormat="1" x14ac:dyDescent="0.3"/>
    <row r="542" s="15" customFormat="1" x14ac:dyDescent="0.3"/>
    <row r="543" s="15" customFormat="1" x14ac:dyDescent="0.3"/>
    <row r="544" s="15" customFormat="1" x14ac:dyDescent="0.3"/>
    <row r="545" s="15" customFormat="1" x14ac:dyDescent="0.3"/>
    <row r="546" s="15" customFormat="1" x14ac:dyDescent="0.3"/>
    <row r="547" s="15" customFormat="1" x14ac:dyDescent="0.3"/>
    <row r="548" s="15" customFormat="1" x14ac:dyDescent="0.3"/>
    <row r="549" s="15" customFormat="1" x14ac:dyDescent="0.3"/>
    <row r="550" s="15" customFormat="1" x14ac:dyDescent="0.3"/>
    <row r="551" s="15" customFormat="1" x14ac:dyDescent="0.3"/>
    <row r="552" s="15" customFormat="1" x14ac:dyDescent="0.3"/>
    <row r="553" s="15" customFormat="1" x14ac:dyDescent="0.3"/>
    <row r="554" s="15" customFormat="1" x14ac:dyDescent="0.3"/>
    <row r="555" s="15" customFormat="1" x14ac:dyDescent="0.3"/>
    <row r="556" s="15" customFormat="1" x14ac:dyDescent="0.3"/>
    <row r="557" s="15" customFormat="1" x14ac:dyDescent="0.3"/>
    <row r="558" s="15" customFormat="1" x14ac:dyDescent="0.3"/>
    <row r="559" s="15" customFormat="1" x14ac:dyDescent="0.3"/>
    <row r="560" s="15" customFormat="1" x14ac:dyDescent="0.3"/>
    <row r="561" s="15" customFormat="1" x14ac:dyDescent="0.3"/>
    <row r="562" s="15" customFormat="1" x14ac:dyDescent="0.3"/>
    <row r="563" s="15" customFormat="1" x14ac:dyDescent="0.3"/>
    <row r="564" s="15" customFormat="1" x14ac:dyDescent="0.3"/>
    <row r="565" s="15" customFormat="1" x14ac:dyDescent="0.3"/>
    <row r="566" s="15" customFormat="1" x14ac:dyDescent="0.3"/>
    <row r="567" s="15" customFormat="1" x14ac:dyDescent="0.3"/>
    <row r="568" s="15" customFormat="1" x14ac:dyDescent="0.3"/>
    <row r="569" s="15" customFormat="1" x14ac:dyDescent="0.3"/>
    <row r="570" s="15" customFormat="1" x14ac:dyDescent="0.3"/>
    <row r="571" s="15" customFormat="1" x14ac:dyDescent="0.3"/>
    <row r="572" s="15" customFormat="1" x14ac:dyDescent="0.3"/>
    <row r="573" s="15" customFormat="1" x14ac:dyDescent="0.3"/>
    <row r="574" s="15" customFormat="1" x14ac:dyDescent="0.3"/>
    <row r="575" s="15" customFormat="1" x14ac:dyDescent="0.3"/>
    <row r="576" s="15" customFormat="1" x14ac:dyDescent="0.3"/>
    <row r="577" s="15" customFormat="1" x14ac:dyDescent="0.3"/>
    <row r="578" s="15" customFormat="1" x14ac:dyDescent="0.3"/>
    <row r="579" s="15" customFormat="1" x14ac:dyDescent="0.3"/>
    <row r="580" s="15" customFormat="1" x14ac:dyDescent="0.3"/>
    <row r="581" s="15" customFormat="1" x14ac:dyDescent="0.3"/>
    <row r="582" s="15" customFormat="1" x14ac:dyDescent="0.3"/>
    <row r="583" s="15" customFormat="1" x14ac:dyDescent="0.3"/>
    <row r="584" s="15" customFormat="1" x14ac:dyDescent="0.3"/>
    <row r="585" s="15" customFormat="1" x14ac:dyDescent="0.3"/>
    <row r="586" s="15" customFormat="1" x14ac:dyDescent="0.3"/>
    <row r="587" s="15" customFormat="1" x14ac:dyDescent="0.3"/>
    <row r="588" s="15" customFormat="1" x14ac:dyDescent="0.3"/>
    <row r="589" s="15" customFormat="1" x14ac:dyDescent="0.3"/>
    <row r="590" s="15" customFormat="1" x14ac:dyDescent="0.3"/>
    <row r="591" s="15" customFormat="1" x14ac:dyDescent="0.3"/>
    <row r="592" s="15" customFormat="1" x14ac:dyDescent="0.3"/>
    <row r="593" s="15" customFormat="1" x14ac:dyDescent="0.3"/>
    <row r="594" s="15" customFormat="1" x14ac:dyDescent="0.3"/>
    <row r="595" s="15" customFormat="1" x14ac:dyDescent="0.3"/>
    <row r="596" s="15" customFormat="1" x14ac:dyDescent="0.3"/>
    <row r="597" s="15" customFormat="1" x14ac:dyDescent="0.3"/>
    <row r="598" s="15" customFormat="1" x14ac:dyDescent="0.3"/>
    <row r="599" s="15" customFormat="1" x14ac:dyDescent="0.3"/>
    <row r="600" s="15" customFormat="1" x14ac:dyDescent="0.3"/>
    <row r="601" s="15" customFormat="1" x14ac:dyDescent="0.3"/>
    <row r="602" s="15" customFormat="1" x14ac:dyDescent="0.3"/>
    <row r="603" s="15" customFormat="1" x14ac:dyDescent="0.3"/>
    <row r="604" s="15" customFormat="1" x14ac:dyDescent="0.3"/>
    <row r="605" s="15" customFormat="1" x14ac:dyDescent="0.3"/>
    <row r="606" s="15" customFormat="1" x14ac:dyDescent="0.3"/>
    <row r="607" s="15" customFormat="1" x14ac:dyDescent="0.3"/>
    <row r="608" s="15" customFormat="1" x14ac:dyDescent="0.3"/>
    <row r="609" s="15" customFormat="1" x14ac:dyDescent="0.3"/>
    <row r="610" s="15" customFormat="1" x14ac:dyDescent="0.3"/>
    <row r="611" s="15" customFormat="1" x14ac:dyDescent="0.3"/>
    <row r="612" s="15" customFormat="1" x14ac:dyDescent="0.3"/>
    <row r="613" s="15" customFormat="1" x14ac:dyDescent="0.3"/>
    <row r="614" s="15" customFormat="1" x14ac:dyDescent="0.3"/>
    <row r="615" s="15" customFormat="1" x14ac:dyDescent="0.3"/>
    <row r="616" s="15" customFormat="1" x14ac:dyDescent="0.3"/>
    <row r="617" s="15" customFormat="1" x14ac:dyDescent="0.3"/>
    <row r="618" s="15" customFormat="1" x14ac:dyDescent="0.3"/>
    <row r="619" s="15" customFormat="1" x14ac:dyDescent="0.3"/>
    <row r="620" s="15" customFormat="1" x14ac:dyDescent="0.3"/>
    <row r="621" s="15" customFormat="1" x14ac:dyDescent="0.3"/>
    <row r="622" s="15" customFormat="1" x14ac:dyDescent="0.3"/>
    <row r="623" s="15" customFormat="1" x14ac:dyDescent="0.3"/>
    <row r="624" s="15" customFormat="1" x14ac:dyDescent="0.3"/>
    <row r="625" s="15" customFormat="1" x14ac:dyDescent="0.3"/>
    <row r="626" s="15" customFormat="1" x14ac:dyDescent="0.3"/>
    <row r="627" s="15" customFormat="1" x14ac:dyDescent="0.3"/>
    <row r="628" s="15" customFormat="1" x14ac:dyDescent="0.3"/>
    <row r="629" s="15" customFormat="1" x14ac:dyDescent="0.3"/>
    <row r="630" s="15" customFormat="1" x14ac:dyDescent="0.3"/>
    <row r="631" s="15" customFormat="1" x14ac:dyDescent="0.3"/>
    <row r="632" s="15" customFormat="1" x14ac:dyDescent="0.3"/>
    <row r="633" s="15" customFormat="1" x14ac:dyDescent="0.3"/>
    <row r="634" s="15" customFormat="1" x14ac:dyDescent="0.3"/>
    <row r="635" s="15" customFormat="1" x14ac:dyDescent="0.3"/>
    <row r="636" s="15" customFormat="1" x14ac:dyDescent="0.3"/>
    <row r="637" s="15" customFormat="1" x14ac:dyDescent="0.3"/>
    <row r="638" s="15" customFormat="1" x14ac:dyDescent="0.3"/>
    <row r="639" s="15" customFormat="1" x14ac:dyDescent="0.3"/>
    <row r="640" s="15" customFormat="1" x14ac:dyDescent="0.3"/>
    <row r="641" s="15" customFormat="1" x14ac:dyDescent="0.3"/>
    <row r="642" s="15" customFormat="1" x14ac:dyDescent="0.3"/>
    <row r="643" s="15" customFormat="1" x14ac:dyDescent="0.3"/>
    <row r="644" s="15" customFormat="1" x14ac:dyDescent="0.3"/>
    <row r="645" s="15" customFormat="1" x14ac:dyDescent="0.3"/>
    <row r="646" s="15" customFormat="1" x14ac:dyDescent="0.3"/>
    <row r="647" s="15" customFormat="1" x14ac:dyDescent="0.3"/>
    <row r="648" s="15" customFormat="1" x14ac:dyDescent="0.3"/>
    <row r="649" s="15" customFormat="1" x14ac:dyDescent="0.3"/>
    <row r="650" s="15" customFormat="1" x14ac:dyDescent="0.3"/>
    <row r="651" s="15" customFormat="1" x14ac:dyDescent="0.3"/>
    <row r="652" s="15" customFormat="1" x14ac:dyDescent="0.3"/>
    <row r="653" s="15" customFormat="1" x14ac:dyDescent="0.3"/>
    <row r="654" s="15" customFormat="1" x14ac:dyDescent="0.3"/>
    <row r="655" s="15" customFormat="1" x14ac:dyDescent="0.3"/>
    <row r="656" s="15" customFormat="1" x14ac:dyDescent="0.3"/>
    <row r="657" s="15" customFormat="1" x14ac:dyDescent="0.3"/>
    <row r="658" s="15" customFormat="1" x14ac:dyDescent="0.3"/>
    <row r="659" s="15" customFormat="1" x14ac:dyDescent="0.3"/>
    <row r="660" s="15" customFormat="1" x14ac:dyDescent="0.3"/>
    <row r="661" s="15" customFormat="1" x14ac:dyDescent="0.3"/>
    <row r="662" s="15" customFormat="1" x14ac:dyDescent="0.3"/>
    <row r="663" s="15" customFormat="1" x14ac:dyDescent="0.3"/>
    <row r="664" s="15" customFormat="1" x14ac:dyDescent="0.3"/>
    <row r="665" s="15" customFormat="1" x14ac:dyDescent="0.3"/>
    <row r="666" s="15" customFormat="1" x14ac:dyDescent="0.3"/>
    <row r="667" s="15" customFormat="1" x14ac:dyDescent="0.3"/>
    <row r="668" s="15" customFormat="1" x14ac:dyDescent="0.3"/>
    <row r="669" s="15" customFormat="1" x14ac:dyDescent="0.3"/>
    <row r="670" s="15" customFormat="1" x14ac:dyDescent="0.3"/>
    <row r="671" s="15" customFormat="1" x14ac:dyDescent="0.3"/>
    <row r="672" s="15" customFormat="1" x14ac:dyDescent="0.3"/>
    <row r="673" s="15" customFormat="1" x14ac:dyDescent="0.3"/>
    <row r="674" s="15" customFormat="1" x14ac:dyDescent="0.3"/>
    <row r="675" s="15" customFormat="1" x14ac:dyDescent="0.3"/>
    <row r="676" s="15" customFormat="1" x14ac:dyDescent="0.3"/>
    <row r="677" s="15" customFormat="1" x14ac:dyDescent="0.3"/>
    <row r="678" s="15" customFormat="1" x14ac:dyDescent="0.3"/>
    <row r="679" s="15" customFormat="1" x14ac:dyDescent="0.3"/>
    <row r="680" s="15" customFormat="1" x14ac:dyDescent="0.3"/>
    <row r="681" s="15" customFormat="1" x14ac:dyDescent="0.3"/>
    <row r="682" s="15" customFormat="1" x14ac:dyDescent="0.3"/>
    <row r="683" s="15" customFormat="1" x14ac:dyDescent="0.3"/>
    <row r="684" s="15" customFormat="1" x14ac:dyDescent="0.3"/>
    <row r="685" s="15" customFormat="1" x14ac:dyDescent="0.3"/>
    <row r="686" s="15" customFormat="1" x14ac:dyDescent="0.3"/>
    <row r="687" s="15" customFormat="1" x14ac:dyDescent="0.3"/>
    <row r="688" s="15" customFormat="1" x14ac:dyDescent="0.3"/>
    <row r="689" s="15" customFormat="1" x14ac:dyDescent="0.3"/>
    <row r="690" s="15" customFormat="1" x14ac:dyDescent="0.3"/>
    <row r="691" s="15" customFormat="1" x14ac:dyDescent="0.3"/>
    <row r="692" s="15" customFormat="1" x14ac:dyDescent="0.3"/>
    <row r="693" s="15" customFormat="1" x14ac:dyDescent="0.3"/>
    <row r="694" s="15" customFormat="1" x14ac:dyDescent="0.3"/>
    <row r="695" s="15" customFormat="1" x14ac:dyDescent="0.3"/>
    <row r="696" s="15" customFormat="1" x14ac:dyDescent="0.3"/>
    <row r="697" s="15" customFormat="1" x14ac:dyDescent="0.3"/>
    <row r="698" s="15" customFormat="1" x14ac:dyDescent="0.3"/>
    <row r="699" s="15" customFormat="1" x14ac:dyDescent="0.3"/>
    <row r="700" s="15" customFormat="1" x14ac:dyDescent="0.3"/>
    <row r="701" s="15" customFormat="1" x14ac:dyDescent="0.3"/>
    <row r="702" s="15" customFormat="1" x14ac:dyDescent="0.3"/>
    <row r="703" s="15" customFormat="1" x14ac:dyDescent="0.3"/>
    <row r="704" s="15" customFormat="1" x14ac:dyDescent="0.3"/>
    <row r="705" s="15" customFormat="1" x14ac:dyDescent="0.3"/>
    <row r="706" s="15" customFormat="1" x14ac:dyDescent="0.3"/>
    <row r="707" s="15" customFormat="1" x14ac:dyDescent="0.3"/>
    <row r="708" s="15" customFormat="1" x14ac:dyDescent="0.3"/>
    <row r="709" s="15" customFormat="1" x14ac:dyDescent="0.3"/>
    <row r="710" s="15" customFormat="1" x14ac:dyDescent="0.3"/>
    <row r="711" s="15" customFormat="1" x14ac:dyDescent="0.3"/>
    <row r="712" s="15" customFormat="1" x14ac:dyDescent="0.3"/>
    <row r="713" s="15" customFormat="1" x14ac:dyDescent="0.3"/>
    <row r="714" s="15" customFormat="1" x14ac:dyDescent="0.3"/>
    <row r="715" s="15" customFormat="1" x14ac:dyDescent="0.3"/>
    <row r="716" s="15" customFormat="1" x14ac:dyDescent="0.3"/>
    <row r="717" s="15" customFormat="1" x14ac:dyDescent="0.3"/>
    <row r="718" s="15" customFormat="1" x14ac:dyDescent="0.3"/>
    <row r="719" s="15" customFormat="1" x14ac:dyDescent="0.3"/>
    <row r="720" s="15" customFormat="1" x14ac:dyDescent="0.3"/>
    <row r="721" s="15" customFormat="1" x14ac:dyDescent="0.3"/>
    <row r="722" s="15" customFormat="1" x14ac:dyDescent="0.3"/>
    <row r="723" s="15" customFormat="1" x14ac:dyDescent="0.3"/>
    <row r="724" s="15" customFormat="1" x14ac:dyDescent="0.3"/>
    <row r="725" s="15" customFormat="1" x14ac:dyDescent="0.3"/>
    <row r="726" s="15" customFormat="1" x14ac:dyDescent="0.3"/>
    <row r="727" s="15" customFormat="1" x14ac:dyDescent="0.3"/>
    <row r="728" s="15" customFormat="1" x14ac:dyDescent="0.3"/>
    <row r="729" s="15" customFormat="1" x14ac:dyDescent="0.3"/>
    <row r="730" s="15" customFormat="1" x14ac:dyDescent="0.3"/>
    <row r="731" s="15" customFormat="1" x14ac:dyDescent="0.3"/>
    <row r="732" s="15" customFormat="1" x14ac:dyDescent="0.3"/>
    <row r="733" s="15" customFormat="1" x14ac:dyDescent="0.3"/>
    <row r="734" s="15" customFormat="1" x14ac:dyDescent="0.3"/>
    <row r="735" s="15" customFormat="1" x14ac:dyDescent="0.3"/>
    <row r="736" s="15" customFormat="1" x14ac:dyDescent="0.3"/>
    <row r="737" s="15" customFormat="1" x14ac:dyDescent="0.3"/>
    <row r="738" s="15" customFormat="1" x14ac:dyDescent="0.3"/>
    <row r="739" s="15" customFormat="1" x14ac:dyDescent="0.3"/>
    <row r="740" s="15" customFormat="1" x14ac:dyDescent="0.3"/>
    <row r="741" s="15" customFormat="1" x14ac:dyDescent="0.3"/>
    <row r="742" s="15" customFormat="1" x14ac:dyDescent="0.3"/>
    <row r="743" s="15" customFormat="1" x14ac:dyDescent="0.3"/>
    <row r="744" s="15" customFormat="1" x14ac:dyDescent="0.3"/>
    <row r="745" s="15" customFormat="1" x14ac:dyDescent="0.3"/>
    <row r="746" s="15" customFormat="1" x14ac:dyDescent="0.3"/>
    <row r="747" s="15" customFormat="1" x14ac:dyDescent="0.3"/>
    <row r="748" s="15" customFormat="1" x14ac:dyDescent="0.3"/>
    <row r="749" s="15" customFormat="1" x14ac:dyDescent="0.3"/>
    <row r="750" s="15" customFormat="1" x14ac:dyDescent="0.3"/>
    <row r="751" s="15" customFormat="1" x14ac:dyDescent="0.3"/>
    <row r="752" s="15" customFormat="1" x14ac:dyDescent="0.3"/>
    <row r="753" s="15" customFormat="1" x14ac:dyDescent="0.3"/>
    <row r="754" s="15" customFormat="1" x14ac:dyDescent="0.3"/>
    <row r="755" s="15" customFormat="1" x14ac:dyDescent="0.3"/>
    <row r="756" s="15" customFormat="1" x14ac:dyDescent="0.3"/>
    <row r="757" s="15" customFormat="1" x14ac:dyDescent="0.3"/>
    <row r="758" s="15" customFormat="1" x14ac:dyDescent="0.3"/>
    <row r="759" s="15" customFormat="1" x14ac:dyDescent="0.3"/>
    <row r="760" s="15" customFormat="1" x14ac:dyDescent="0.3"/>
    <row r="761" s="15" customFormat="1" x14ac:dyDescent="0.3"/>
    <row r="762" s="15" customFormat="1" x14ac:dyDescent="0.3"/>
    <row r="763" s="15" customFormat="1" x14ac:dyDescent="0.3"/>
    <row r="764" s="15" customFormat="1" x14ac:dyDescent="0.3"/>
    <row r="765" s="15" customFormat="1" x14ac:dyDescent="0.3"/>
    <row r="766" s="15" customFormat="1" x14ac:dyDescent="0.3"/>
    <row r="767" s="15" customFormat="1" x14ac:dyDescent="0.3"/>
    <row r="768" s="15" customFormat="1" x14ac:dyDescent="0.3"/>
    <row r="769" s="15" customFormat="1" x14ac:dyDescent="0.3"/>
    <row r="770" s="15" customFormat="1" x14ac:dyDescent="0.3"/>
    <row r="771" s="15" customFormat="1" x14ac:dyDescent="0.3"/>
    <row r="772" s="15" customFormat="1" x14ac:dyDescent="0.3"/>
    <row r="773" s="15" customFormat="1" x14ac:dyDescent="0.3"/>
    <row r="774" s="15" customFormat="1" x14ac:dyDescent="0.3"/>
    <row r="775" s="15" customFormat="1" x14ac:dyDescent="0.3"/>
    <row r="776" s="15" customFormat="1" x14ac:dyDescent="0.3"/>
    <row r="777" s="15" customFormat="1" x14ac:dyDescent="0.3"/>
    <row r="778" s="15" customFormat="1" x14ac:dyDescent="0.3"/>
    <row r="779" s="15" customFormat="1" x14ac:dyDescent="0.3"/>
    <row r="780" s="15" customFormat="1" x14ac:dyDescent="0.3"/>
    <row r="781" s="15" customFormat="1" x14ac:dyDescent="0.3"/>
    <row r="782" s="15" customFormat="1" x14ac:dyDescent="0.3"/>
    <row r="783" s="15" customFormat="1" x14ac:dyDescent="0.3"/>
    <row r="784" s="15" customFormat="1" x14ac:dyDescent="0.3"/>
    <row r="785" s="15" customFormat="1" x14ac:dyDescent="0.3"/>
    <row r="786" s="15" customFormat="1" x14ac:dyDescent="0.3"/>
    <row r="787" s="15" customFormat="1" x14ac:dyDescent="0.3"/>
    <row r="788" s="15" customFormat="1" x14ac:dyDescent="0.3"/>
    <row r="789" s="15" customFormat="1" x14ac:dyDescent="0.3"/>
    <row r="790" s="15" customFormat="1" x14ac:dyDescent="0.3"/>
    <row r="791" s="15" customFormat="1" x14ac:dyDescent="0.3"/>
    <row r="792" s="15" customFormat="1" x14ac:dyDescent="0.3"/>
    <row r="793" s="15" customFormat="1" x14ac:dyDescent="0.3"/>
    <row r="794" s="15" customFormat="1" x14ac:dyDescent="0.3"/>
    <row r="795" s="15" customFormat="1" x14ac:dyDescent="0.3"/>
    <row r="796" s="15" customFormat="1" x14ac:dyDescent="0.3"/>
    <row r="797" s="15" customFormat="1" x14ac:dyDescent="0.3"/>
    <row r="798" s="15" customFormat="1" x14ac:dyDescent="0.3"/>
    <row r="799" s="15" customFormat="1" x14ac:dyDescent="0.3"/>
    <row r="800" s="15" customFormat="1" x14ac:dyDescent="0.3"/>
    <row r="801" s="15" customFormat="1" x14ac:dyDescent="0.3"/>
    <row r="802" s="15" customFormat="1" x14ac:dyDescent="0.3"/>
    <row r="803" s="15" customFormat="1" x14ac:dyDescent="0.3"/>
    <row r="804" s="15" customFormat="1" x14ac:dyDescent="0.3"/>
    <row r="805" s="15" customFormat="1" x14ac:dyDescent="0.3"/>
    <row r="806" s="15" customFormat="1" x14ac:dyDescent="0.3"/>
    <row r="807" s="15" customFormat="1" x14ac:dyDescent="0.3"/>
    <row r="808" s="15" customFormat="1" x14ac:dyDescent="0.3"/>
    <row r="809" s="15" customFormat="1" x14ac:dyDescent="0.3"/>
    <row r="810" s="15" customFormat="1" x14ac:dyDescent="0.3"/>
    <row r="811" s="15" customFormat="1" x14ac:dyDescent="0.3"/>
    <row r="812" s="15" customFormat="1" x14ac:dyDescent="0.3"/>
    <row r="813" s="15" customFormat="1" x14ac:dyDescent="0.3"/>
    <row r="814" s="15" customFormat="1" x14ac:dyDescent="0.3"/>
    <row r="815" s="15" customFormat="1" x14ac:dyDescent="0.3"/>
    <row r="816" s="15" customFormat="1" x14ac:dyDescent="0.3"/>
    <row r="817" s="15" customFormat="1" x14ac:dyDescent="0.3"/>
    <row r="818" s="15" customFormat="1" x14ac:dyDescent="0.3"/>
    <row r="819" s="15" customFormat="1" x14ac:dyDescent="0.3"/>
    <row r="820" s="15" customFormat="1" x14ac:dyDescent="0.3"/>
    <row r="821" s="15" customFormat="1" x14ac:dyDescent="0.3"/>
    <row r="822" s="15" customFormat="1" x14ac:dyDescent="0.3"/>
    <row r="823" s="15" customFormat="1" x14ac:dyDescent="0.3"/>
    <row r="824" s="15" customFormat="1" x14ac:dyDescent="0.3"/>
    <row r="825" s="15" customFormat="1" x14ac:dyDescent="0.3"/>
    <row r="826" s="15" customFormat="1" x14ac:dyDescent="0.3"/>
    <row r="827" s="15" customFormat="1" x14ac:dyDescent="0.3"/>
    <row r="828" s="15" customFormat="1" x14ac:dyDescent="0.3"/>
    <row r="829" s="15" customFormat="1" x14ac:dyDescent="0.3"/>
    <row r="830" s="15" customFormat="1" x14ac:dyDescent="0.3"/>
    <row r="831" s="15" customFormat="1" x14ac:dyDescent="0.3"/>
    <row r="832" s="15" customFormat="1" x14ac:dyDescent="0.3"/>
    <row r="833" s="15" customFormat="1" x14ac:dyDescent="0.3"/>
    <row r="834" s="15" customFormat="1" x14ac:dyDescent="0.3"/>
    <row r="835" s="15" customFormat="1" x14ac:dyDescent="0.3"/>
    <row r="836" s="15" customFormat="1" x14ac:dyDescent="0.3"/>
    <row r="837" s="15" customFormat="1" x14ac:dyDescent="0.3"/>
    <row r="838" s="15" customFormat="1" x14ac:dyDescent="0.3"/>
    <row r="839" s="15" customFormat="1" x14ac:dyDescent="0.3"/>
    <row r="840" s="15" customFormat="1" x14ac:dyDescent="0.3"/>
    <row r="841" s="15" customFormat="1" x14ac:dyDescent="0.3"/>
    <row r="842" s="15" customFormat="1" x14ac:dyDescent="0.3"/>
    <row r="843" s="15" customFormat="1" x14ac:dyDescent="0.3"/>
    <row r="844" s="15" customFormat="1" x14ac:dyDescent="0.3"/>
    <row r="845" s="15" customFormat="1" x14ac:dyDescent="0.3"/>
    <row r="846" s="15" customFormat="1" x14ac:dyDescent="0.3"/>
    <row r="847" s="15" customFormat="1" x14ac:dyDescent="0.3"/>
    <row r="848" s="15" customFormat="1" x14ac:dyDescent="0.3"/>
    <row r="849" s="15" customFormat="1" x14ac:dyDescent="0.3"/>
    <row r="850" s="15" customFormat="1" x14ac:dyDescent="0.3"/>
    <row r="851" s="15" customFormat="1" x14ac:dyDescent="0.3"/>
    <row r="852" s="15" customFormat="1" x14ac:dyDescent="0.3"/>
    <row r="853" s="15" customFormat="1" x14ac:dyDescent="0.3"/>
    <row r="854" s="15" customFormat="1" x14ac:dyDescent="0.3"/>
    <row r="855" s="15" customFormat="1" x14ac:dyDescent="0.3"/>
    <row r="856" s="15" customFormat="1" x14ac:dyDescent="0.3"/>
    <row r="857" s="15" customFormat="1" x14ac:dyDescent="0.3"/>
    <row r="858" s="15" customFormat="1" x14ac:dyDescent="0.3"/>
    <row r="859" s="15" customFormat="1" x14ac:dyDescent="0.3"/>
    <row r="860" s="15" customFormat="1" x14ac:dyDescent="0.3"/>
    <row r="861" s="15" customFormat="1" x14ac:dyDescent="0.3"/>
    <row r="862" s="15" customFormat="1" x14ac:dyDescent="0.3"/>
    <row r="863" s="15" customFormat="1" x14ac:dyDescent="0.3"/>
    <row r="864" s="15" customFormat="1" x14ac:dyDescent="0.3"/>
    <row r="865" s="15" customFormat="1" x14ac:dyDescent="0.3"/>
    <row r="866" s="15" customFormat="1" x14ac:dyDescent="0.3"/>
    <row r="867" s="15" customFormat="1" x14ac:dyDescent="0.3"/>
    <row r="868" s="15" customFormat="1" x14ac:dyDescent="0.3"/>
    <row r="869" s="15" customFormat="1" x14ac:dyDescent="0.3"/>
    <row r="870" s="15" customFormat="1" x14ac:dyDescent="0.3"/>
    <row r="871" s="15" customFormat="1" x14ac:dyDescent="0.3"/>
    <row r="872" s="15" customFormat="1" x14ac:dyDescent="0.3"/>
    <row r="873" s="15" customFormat="1" x14ac:dyDescent="0.3"/>
    <row r="874" s="15" customFormat="1" x14ac:dyDescent="0.3"/>
    <row r="875" s="15" customFormat="1" x14ac:dyDescent="0.3"/>
    <row r="876" s="15" customFormat="1" x14ac:dyDescent="0.3"/>
    <row r="877" s="15" customFormat="1" x14ac:dyDescent="0.3"/>
    <row r="878" s="15" customFormat="1" x14ac:dyDescent="0.3"/>
    <row r="879" s="15" customFormat="1" x14ac:dyDescent="0.3"/>
    <row r="880" s="15" customFormat="1" x14ac:dyDescent="0.3"/>
    <row r="881" s="15" customFormat="1" x14ac:dyDescent="0.3"/>
    <row r="882" s="15" customFormat="1" x14ac:dyDescent="0.3"/>
    <row r="883" s="15" customFormat="1" x14ac:dyDescent="0.3"/>
    <row r="884" s="15" customFormat="1" x14ac:dyDescent="0.3"/>
    <row r="885" s="15" customFormat="1" x14ac:dyDescent="0.3"/>
    <row r="886" s="15" customFormat="1" x14ac:dyDescent="0.3"/>
    <row r="887" s="15" customFormat="1" x14ac:dyDescent="0.3"/>
    <row r="888" s="15" customFormat="1" x14ac:dyDescent="0.3"/>
    <row r="889" s="15" customFormat="1" x14ac:dyDescent="0.3"/>
    <row r="890" s="15" customFormat="1" x14ac:dyDescent="0.3"/>
    <row r="891" s="15" customFormat="1" x14ac:dyDescent="0.3"/>
    <row r="892" s="15" customFormat="1" x14ac:dyDescent="0.3"/>
    <row r="893" s="15" customFormat="1" x14ac:dyDescent="0.3"/>
    <row r="894" s="15" customFormat="1" x14ac:dyDescent="0.3"/>
    <row r="895" s="15" customFormat="1" x14ac:dyDescent="0.3"/>
    <row r="896" s="15" customFormat="1" x14ac:dyDescent="0.3"/>
    <row r="897" s="15" customFormat="1" x14ac:dyDescent="0.3"/>
    <row r="898" s="15" customFormat="1" x14ac:dyDescent="0.3"/>
    <row r="899" s="15" customFormat="1" x14ac:dyDescent="0.3"/>
    <row r="900" s="15" customFormat="1" x14ac:dyDescent="0.3"/>
    <row r="901" s="15" customFormat="1" x14ac:dyDescent="0.3"/>
    <row r="902" s="15" customFormat="1" x14ac:dyDescent="0.3"/>
    <row r="903" s="15" customFormat="1" x14ac:dyDescent="0.3"/>
    <row r="904" s="15" customFormat="1" x14ac:dyDescent="0.3"/>
    <row r="905" s="15" customFormat="1" x14ac:dyDescent="0.3"/>
    <row r="906" s="15" customFormat="1" x14ac:dyDescent="0.3"/>
    <row r="907" s="15" customFormat="1" x14ac:dyDescent="0.3"/>
    <row r="908" s="15" customFormat="1" x14ac:dyDescent="0.3"/>
    <row r="909" s="15" customFormat="1" x14ac:dyDescent="0.3"/>
    <row r="910" s="15" customFormat="1" x14ac:dyDescent="0.3"/>
    <row r="911" s="15" customFormat="1" x14ac:dyDescent="0.3"/>
    <row r="912" s="15" customFormat="1" x14ac:dyDescent="0.3"/>
    <row r="913" s="15" customFormat="1" x14ac:dyDescent="0.3"/>
    <row r="914" s="15" customFormat="1" x14ac:dyDescent="0.3"/>
    <row r="915" s="15" customFormat="1" x14ac:dyDescent="0.3"/>
    <row r="916" s="15" customFormat="1" x14ac:dyDescent="0.3"/>
    <row r="917" s="15" customFormat="1" x14ac:dyDescent="0.3"/>
    <row r="918" s="15" customFormat="1" x14ac:dyDescent="0.3"/>
    <row r="919" s="15" customFormat="1" x14ac:dyDescent="0.3"/>
    <row r="920" s="15" customFormat="1" x14ac:dyDescent="0.3"/>
    <row r="921" s="15" customFormat="1" x14ac:dyDescent="0.3"/>
    <row r="922" s="15" customFormat="1" x14ac:dyDescent="0.3"/>
    <row r="923" s="15" customFormat="1" x14ac:dyDescent="0.3"/>
    <row r="924" s="15" customFormat="1" x14ac:dyDescent="0.3"/>
    <row r="925" s="15" customFormat="1" x14ac:dyDescent="0.3"/>
    <row r="926" s="15" customFormat="1" x14ac:dyDescent="0.3"/>
    <row r="927" s="15" customFormat="1" x14ac:dyDescent="0.3"/>
    <row r="928" s="15" customFormat="1" x14ac:dyDescent="0.3"/>
    <row r="929" s="15" customFormat="1" x14ac:dyDescent="0.3"/>
    <row r="930" s="15" customFormat="1" x14ac:dyDescent="0.3"/>
    <row r="931" s="15" customFormat="1" x14ac:dyDescent="0.3"/>
    <row r="932" s="15" customFormat="1" x14ac:dyDescent="0.3"/>
    <row r="933" s="15" customFormat="1" x14ac:dyDescent="0.3"/>
    <row r="934" s="15" customFormat="1" x14ac:dyDescent="0.3"/>
    <row r="935" s="15" customFormat="1" x14ac:dyDescent="0.3"/>
    <row r="936" s="15" customFormat="1" x14ac:dyDescent="0.3"/>
    <row r="937" s="15" customFormat="1" x14ac:dyDescent="0.3"/>
    <row r="938" s="15" customFormat="1" x14ac:dyDescent="0.3"/>
    <row r="939" s="15" customFormat="1" x14ac:dyDescent="0.3"/>
    <row r="940" s="15" customFormat="1" x14ac:dyDescent="0.3"/>
    <row r="941" s="15" customFormat="1" x14ac:dyDescent="0.3"/>
    <row r="942" s="15" customFormat="1" x14ac:dyDescent="0.3"/>
    <row r="943" s="15" customFormat="1" x14ac:dyDescent="0.3"/>
    <row r="944" s="15" customFormat="1" x14ac:dyDescent="0.3"/>
    <row r="945" s="15" customFormat="1" x14ac:dyDescent="0.3"/>
    <row r="946" s="15" customFormat="1" x14ac:dyDescent="0.3"/>
    <row r="947" s="15" customFormat="1" x14ac:dyDescent="0.3"/>
    <row r="948" s="15" customFormat="1" x14ac:dyDescent="0.3"/>
    <row r="949" s="15" customFormat="1" x14ac:dyDescent="0.3"/>
    <row r="950" s="15" customFormat="1" x14ac:dyDescent="0.3"/>
    <row r="951" s="15" customFormat="1" x14ac:dyDescent="0.3"/>
    <row r="952" s="15" customFormat="1" x14ac:dyDescent="0.3"/>
    <row r="953" s="15" customFormat="1" x14ac:dyDescent="0.3"/>
    <row r="954" s="15" customFormat="1" x14ac:dyDescent="0.3"/>
    <row r="955" s="15" customFormat="1" x14ac:dyDescent="0.3"/>
    <row r="956" s="15" customFormat="1" x14ac:dyDescent="0.3"/>
    <row r="957" s="15" customFormat="1" x14ac:dyDescent="0.3"/>
    <row r="958" s="15" customFormat="1" x14ac:dyDescent="0.3"/>
    <row r="959" s="15" customFormat="1" x14ac:dyDescent="0.3"/>
    <row r="960" s="15" customFormat="1" x14ac:dyDescent="0.3"/>
    <row r="961" s="15" customFormat="1" x14ac:dyDescent="0.3"/>
    <row r="962" s="15" customFormat="1" x14ac:dyDescent="0.3"/>
    <row r="963" s="15" customFormat="1" x14ac:dyDescent="0.3"/>
    <row r="964" s="15" customFormat="1" x14ac:dyDescent="0.3"/>
    <row r="965" s="15" customFormat="1" x14ac:dyDescent="0.3"/>
    <row r="966" s="15" customFormat="1" x14ac:dyDescent="0.3"/>
    <row r="967" s="15" customFormat="1" x14ac:dyDescent="0.3"/>
    <row r="968" s="15" customFormat="1" x14ac:dyDescent="0.3"/>
    <row r="969" s="15" customFormat="1" x14ac:dyDescent="0.3"/>
    <row r="970" s="15" customFormat="1" x14ac:dyDescent="0.3"/>
    <row r="971" s="15" customFormat="1" x14ac:dyDescent="0.3"/>
    <row r="972" s="15" customFormat="1" x14ac:dyDescent="0.3"/>
    <row r="973" s="15" customFormat="1" x14ac:dyDescent="0.3"/>
    <row r="974" s="15" customFormat="1" x14ac:dyDescent="0.3"/>
    <row r="975" s="15" customFormat="1" x14ac:dyDescent="0.3"/>
    <row r="976" s="15" customFormat="1" x14ac:dyDescent="0.3"/>
    <row r="977" s="15" customFormat="1" x14ac:dyDescent="0.3"/>
    <row r="978" s="15" customFormat="1" x14ac:dyDescent="0.3"/>
    <row r="979" s="15" customFormat="1" x14ac:dyDescent="0.3"/>
    <row r="980" s="15" customFormat="1" x14ac:dyDescent="0.3"/>
    <row r="981" s="15" customFormat="1" x14ac:dyDescent="0.3"/>
    <row r="982" s="15" customFormat="1" x14ac:dyDescent="0.3"/>
    <row r="983" s="15" customFormat="1" x14ac:dyDescent="0.3"/>
    <row r="984" s="15" customFormat="1" x14ac:dyDescent="0.3"/>
    <row r="985" s="15" customFormat="1" x14ac:dyDescent="0.3"/>
    <row r="986" s="15" customFormat="1" x14ac:dyDescent="0.3"/>
    <row r="987" s="15" customFormat="1" x14ac:dyDescent="0.3"/>
    <row r="988" s="15" customFormat="1" x14ac:dyDescent="0.3"/>
    <row r="989" s="15" customFormat="1" x14ac:dyDescent="0.3"/>
    <row r="990" s="15" customFormat="1" x14ac:dyDescent="0.3"/>
    <row r="991" s="15" customFormat="1" x14ac:dyDescent="0.3"/>
    <row r="992" s="15" customFormat="1" x14ac:dyDescent="0.3"/>
    <row r="993" s="15" customFormat="1" x14ac:dyDescent="0.3"/>
    <row r="994" s="15" customFormat="1" x14ac:dyDescent="0.3"/>
    <row r="995" s="15" customFormat="1" x14ac:dyDescent="0.3"/>
    <row r="996" s="15" customFormat="1" x14ac:dyDescent="0.3"/>
    <row r="997" s="15" customFormat="1" x14ac:dyDescent="0.3"/>
    <row r="998" s="15" customFormat="1" x14ac:dyDescent="0.3"/>
    <row r="999" s="15" customFormat="1" x14ac:dyDescent="0.3"/>
    <row r="1000" s="15" customFormat="1" x14ac:dyDescent="0.3"/>
  </sheetData>
  <mergeCells count="13">
    <mergeCell ref="G37:I37"/>
    <mergeCell ref="A1:E2"/>
    <mergeCell ref="M4:O4"/>
    <mergeCell ref="M6:O6"/>
    <mergeCell ref="M8:O8"/>
    <mergeCell ref="G25:H25"/>
    <mergeCell ref="K25:M25"/>
    <mergeCell ref="G27:H27"/>
    <mergeCell ref="J30:N30"/>
    <mergeCell ref="C31:D31"/>
    <mergeCell ref="H31:I31"/>
    <mergeCell ref="G35:I35"/>
    <mergeCell ref="G36:I36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workbookViewId="0">
      <selection activeCell="E5" sqref="E5"/>
    </sheetView>
  </sheetViews>
  <sheetFormatPr defaultColWidth="14.44140625" defaultRowHeight="15" customHeight="1" x14ac:dyDescent="0.3"/>
  <cols>
    <col min="1" max="1" width="2.33203125" bestFit="1" customWidth="1"/>
    <col min="2" max="2" width="3.6640625" bestFit="1" customWidth="1"/>
    <col min="3" max="3" width="9.6640625" bestFit="1" customWidth="1"/>
    <col min="4" max="4" width="16.21875" bestFit="1" customWidth="1"/>
    <col min="5" max="5" width="18" customWidth="1"/>
    <col min="6" max="26" width="8.6640625" customWidth="1"/>
  </cols>
  <sheetData>
    <row r="1" spans="1:5" ht="14.4" x14ac:dyDescent="0.3">
      <c r="A1" s="4" t="s">
        <v>2</v>
      </c>
      <c r="B1" s="6"/>
      <c r="C1" s="6"/>
      <c r="D1" s="6"/>
      <c r="E1" s="7"/>
    </row>
    <row r="2" spans="1:5" ht="14.4" x14ac:dyDescent="0.3">
      <c r="A2" s="8"/>
      <c r="B2" s="9"/>
      <c r="C2" s="9"/>
      <c r="D2" s="9"/>
      <c r="E2" s="10"/>
    </row>
    <row r="3" spans="1:5" ht="21" x14ac:dyDescent="0.3">
      <c r="A3" s="11">
        <v>1</v>
      </c>
      <c r="B3" s="11">
        <v>23</v>
      </c>
      <c r="C3" s="11" t="s">
        <v>13</v>
      </c>
      <c r="D3" s="12" t="s">
        <v>14</v>
      </c>
      <c r="E3" s="13"/>
    </row>
    <row r="4" spans="1:5" ht="21" x14ac:dyDescent="0.3">
      <c r="A4" s="11">
        <v>2</v>
      </c>
      <c r="B4" s="11">
        <v>24</v>
      </c>
      <c r="C4" s="11" t="s">
        <v>22</v>
      </c>
      <c r="D4" s="12" t="s">
        <v>24</v>
      </c>
      <c r="E4" s="13"/>
    </row>
    <row r="5" spans="1:5" ht="21" x14ac:dyDescent="0.3">
      <c r="A5" s="11">
        <v>3</v>
      </c>
      <c r="B5" s="11">
        <v>25</v>
      </c>
      <c r="C5" s="11" t="s">
        <v>13</v>
      </c>
      <c r="D5" s="12" t="s">
        <v>27</v>
      </c>
      <c r="E5" s="13"/>
    </row>
    <row r="6" spans="1:5" ht="21" x14ac:dyDescent="0.3">
      <c r="A6" s="11">
        <v>3</v>
      </c>
      <c r="B6" s="11">
        <v>25</v>
      </c>
      <c r="C6" s="11" t="s">
        <v>13</v>
      </c>
      <c r="D6" s="12" t="s">
        <v>29</v>
      </c>
      <c r="E6" s="13"/>
    </row>
    <row r="7" spans="1:5" ht="21" x14ac:dyDescent="0.3">
      <c r="A7" s="11">
        <v>4</v>
      </c>
      <c r="B7" s="11"/>
      <c r="C7" s="11" t="s">
        <v>32</v>
      </c>
      <c r="D7" s="12" t="s">
        <v>33</v>
      </c>
      <c r="E7" s="13"/>
    </row>
    <row r="8" spans="1:5" ht="14.25" customHeight="1" x14ac:dyDescent="0.3"/>
    <row r="9" spans="1:5" ht="14.25" customHeight="1" x14ac:dyDescent="0.3"/>
    <row r="10" spans="1:5" ht="14.25" customHeight="1" x14ac:dyDescent="0.3"/>
    <row r="11" spans="1:5" ht="14.25" customHeight="1" x14ac:dyDescent="0.3"/>
    <row r="12" spans="1:5" ht="14.25" customHeight="1" x14ac:dyDescent="0.3"/>
    <row r="13" spans="1:5" ht="14.25" customHeight="1" x14ac:dyDescent="0.3"/>
    <row r="14" spans="1:5" ht="14.25" customHeight="1" x14ac:dyDescent="0.3"/>
    <row r="15" spans="1:5" ht="14.25" customHeight="1" x14ac:dyDescent="0.3"/>
    <row r="16" spans="1:5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1:E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0"/>
  <sheetViews>
    <sheetView workbookViewId="0">
      <selection activeCell="H4" sqref="H4"/>
    </sheetView>
  </sheetViews>
  <sheetFormatPr defaultColWidth="14.44140625" defaultRowHeight="14.4" x14ac:dyDescent="0.3"/>
  <cols>
    <col min="1" max="1" width="13.6640625" style="15" customWidth="1"/>
    <col min="2" max="2" width="43.44140625" style="15" customWidth="1"/>
    <col min="3" max="3" width="5.44140625" style="15" bestFit="1" customWidth="1"/>
    <col min="4" max="4" width="5" style="15" bestFit="1" customWidth="1"/>
    <col min="5" max="5" width="7.88671875" style="15" bestFit="1" customWidth="1"/>
    <col min="6" max="26" width="8.6640625" style="15" customWidth="1"/>
    <col min="27" max="16384" width="14.44140625" style="15"/>
  </cols>
  <sheetData>
    <row r="1" spans="1:9" ht="23.4" x14ac:dyDescent="0.3">
      <c r="A1" s="26" t="s">
        <v>0</v>
      </c>
      <c r="B1" s="26" t="s">
        <v>1</v>
      </c>
      <c r="C1" s="26" t="s">
        <v>3</v>
      </c>
      <c r="D1" s="26" t="s">
        <v>4</v>
      </c>
    </row>
    <row r="5" spans="1:9" ht="18" x14ac:dyDescent="0.3">
      <c r="B5" s="27" t="s">
        <v>5</v>
      </c>
      <c r="C5" s="28"/>
    </row>
    <row r="6" spans="1:9" ht="18" x14ac:dyDescent="0.3">
      <c r="B6" s="27" t="s">
        <v>6</v>
      </c>
      <c r="C6" s="28"/>
    </row>
    <row r="7" spans="1:9" ht="18" x14ac:dyDescent="0.3">
      <c r="B7" s="27" t="s">
        <v>7</v>
      </c>
      <c r="C7" s="28"/>
    </row>
    <row r="8" spans="1:9" ht="18" x14ac:dyDescent="0.3">
      <c r="B8" s="27" t="s">
        <v>8</v>
      </c>
      <c r="C8" s="28"/>
    </row>
    <row r="9" spans="1:9" ht="18" x14ac:dyDescent="0.3">
      <c r="B9" s="27" t="s">
        <v>9</v>
      </c>
      <c r="C9" s="28"/>
    </row>
    <row r="10" spans="1:9" ht="18" x14ac:dyDescent="0.3">
      <c r="B10" s="27" t="s">
        <v>11</v>
      </c>
      <c r="C10" s="28"/>
    </row>
    <row r="11" spans="1:9" ht="18" x14ac:dyDescent="0.3">
      <c r="B11" s="27" t="s">
        <v>12</v>
      </c>
      <c r="C11" s="28"/>
      <c r="E11" s="29" t="s">
        <v>15</v>
      </c>
      <c r="F11" s="5" t="s">
        <v>16</v>
      </c>
      <c r="G11" s="20"/>
      <c r="H11" s="20"/>
      <c r="I11" s="20"/>
    </row>
    <row r="12" spans="1:9" ht="18" x14ac:dyDescent="0.3">
      <c r="B12" s="27" t="s">
        <v>17</v>
      </c>
      <c r="C12" s="28"/>
    </row>
    <row r="13" spans="1:9" ht="18" x14ac:dyDescent="0.3">
      <c r="B13" s="27" t="s">
        <v>18</v>
      </c>
      <c r="C13" s="28"/>
    </row>
    <row r="14" spans="1:9" ht="18" x14ac:dyDescent="0.3">
      <c r="B14" s="27" t="s">
        <v>19</v>
      </c>
      <c r="C14" s="28"/>
    </row>
    <row r="15" spans="1:9" ht="18" x14ac:dyDescent="0.3">
      <c r="B15" s="27" t="s">
        <v>21</v>
      </c>
      <c r="C15" s="28"/>
    </row>
    <row r="17" s="15" customFormat="1" x14ac:dyDescent="0.3"/>
    <row r="18" s="15" customFormat="1" x14ac:dyDescent="0.3"/>
    <row r="19" s="15" customFormat="1" x14ac:dyDescent="0.3"/>
    <row r="20" s="15" customFormat="1" x14ac:dyDescent="0.3"/>
    <row r="21" s="15" customFormat="1" x14ac:dyDescent="0.3"/>
    <row r="22" s="15" customFormat="1" x14ac:dyDescent="0.3"/>
    <row r="23" s="15" customFormat="1" x14ac:dyDescent="0.3"/>
    <row r="24" s="15" customFormat="1" x14ac:dyDescent="0.3"/>
    <row r="25" s="15" customFormat="1" x14ac:dyDescent="0.3"/>
    <row r="26" s="15" customFormat="1" x14ac:dyDescent="0.3"/>
    <row r="27" s="15" customFormat="1" x14ac:dyDescent="0.3"/>
    <row r="28" s="15" customFormat="1" x14ac:dyDescent="0.3"/>
    <row r="29" s="15" customFormat="1" x14ac:dyDescent="0.3"/>
    <row r="30" s="15" customFormat="1" x14ac:dyDescent="0.3"/>
    <row r="31" s="15" customFormat="1" x14ac:dyDescent="0.3"/>
    <row r="32" s="15" customFormat="1" x14ac:dyDescent="0.3"/>
    <row r="33" s="15" customFormat="1" x14ac:dyDescent="0.3"/>
    <row r="34" s="15" customFormat="1" x14ac:dyDescent="0.3"/>
    <row r="35" s="15" customFormat="1" x14ac:dyDescent="0.3"/>
    <row r="36" s="15" customFormat="1" x14ac:dyDescent="0.3"/>
    <row r="37" s="15" customFormat="1" x14ac:dyDescent="0.3"/>
    <row r="38" s="15" customFormat="1" x14ac:dyDescent="0.3"/>
    <row r="39" s="15" customFormat="1" x14ac:dyDescent="0.3"/>
    <row r="40" s="15" customFormat="1" x14ac:dyDescent="0.3"/>
    <row r="41" s="15" customFormat="1" x14ac:dyDescent="0.3"/>
    <row r="42" s="15" customFormat="1" x14ac:dyDescent="0.3"/>
    <row r="43" s="15" customFormat="1" x14ac:dyDescent="0.3"/>
    <row r="44" s="15" customFormat="1" x14ac:dyDescent="0.3"/>
    <row r="45" s="15" customFormat="1" x14ac:dyDescent="0.3"/>
    <row r="46" s="15" customFormat="1" x14ac:dyDescent="0.3"/>
    <row r="47" s="15" customFormat="1" x14ac:dyDescent="0.3"/>
    <row r="48" s="15" customFormat="1" x14ac:dyDescent="0.3"/>
    <row r="49" s="15" customFormat="1" x14ac:dyDescent="0.3"/>
    <row r="50" s="15" customFormat="1" x14ac:dyDescent="0.3"/>
    <row r="51" s="15" customFormat="1" x14ac:dyDescent="0.3"/>
    <row r="52" s="15" customFormat="1" x14ac:dyDescent="0.3"/>
    <row r="53" s="15" customFormat="1" x14ac:dyDescent="0.3"/>
    <row r="54" s="15" customFormat="1" x14ac:dyDescent="0.3"/>
    <row r="55" s="15" customFormat="1" x14ac:dyDescent="0.3"/>
    <row r="56" s="15" customFormat="1" x14ac:dyDescent="0.3"/>
    <row r="57" s="15" customFormat="1" x14ac:dyDescent="0.3"/>
    <row r="58" s="15" customFormat="1" x14ac:dyDescent="0.3"/>
    <row r="59" s="15" customFormat="1" x14ac:dyDescent="0.3"/>
    <row r="60" s="15" customFormat="1" x14ac:dyDescent="0.3"/>
    <row r="61" s="15" customFormat="1" x14ac:dyDescent="0.3"/>
    <row r="62" s="15" customFormat="1" x14ac:dyDescent="0.3"/>
    <row r="63" s="15" customFormat="1" x14ac:dyDescent="0.3"/>
    <row r="64" s="15" customFormat="1" x14ac:dyDescent="0.3"/>
    <row r="65" s="15" customFormat="1" x14ac:dyDescent="0.3"/>
    <row r="66" s="15" customFormat="1" x14ac:dyDescent="0.3"/>
    <row r="67" s="15" customFormat="1" x14ac:dyDescent="0.3"/>
    <row r="68" s="15" customFormat="1" x14ac:dyDescent="0.3"/>
    <row r="69" s="15" customFormat="1" x14ac:dyDescent="0.3"/>
    <row r="70" s="15" customFormat="1" x14ac:dyDescent="0.3"/>
    <row r="71" s="15" customFormat="1" x14ac:dyDescent="0.3"/>
    <row r="72" s="15" customFormat="1" x14ac:dyDescent="0.3"/>
    <row r="73" s="15" customFormat="1" x14ac:dyDescent="0.3"/>
    <row r="74" s="15" customFormat="1" x14ac:dyDescent="0.3"/>
    <row r="75" s="15" customFormat="1" x14ac:dyDescent="0.3"/>
    <row r="76" s="15" customFormat="1" x14ac:dyDescent="0.3"/>
    <row r="77" s="15" customFormat="1" x14ac:dyDescent="0.3"/>
    <row r="78" s="15" customFormat="1" x14ac:dyDescent="0.3"/>
    <row r="79" s="15" customFormat="1" x14ac:dyDescent="0.3"/>
    <row r="80" s="15" customFormat="1" x14ac:dyDescent="0.3"/>
    <row r="81" s="15" customFormat="1" x14ac:dyDescent="0.3"/>
    <row r="82" s="15" customFormat="1" x14ac:dyDescent="0.3"/>
    <row r="83" s="15" customFormat="1" x14ac:dyDescent="0.3"/>
    <row r="84" s="15" customFormat="1" x14ac:dyDescent="0.3"/>
    <row r="85" s="15" customFormat="1" x14ac:dyDescent="0.3"/>
    <row r="86" s="15" customFormat="1" x14ac:dyDescent="0.3"/>
    <row r="87" s="15" customFormat="1" x14ac:dyDescent="0.3"/>
    <row r="88" s="15" customFormat="1" x14ac:dyDescent="0.3"/>
    <row r="89" s="15" customFormat="1" x14ac:dyDescent="0.3"/>
    <row r="90" s="15" customFormat="1" x14ac:dyDescent="0.3"/>
    <row r="91" s="15" customFormat="1" x14ac:dyDescent="0.3"/>
    <row r="92" s="15" customFormat="1" x14ac:dyDescent="0.3"/>
    <row r="93" s="15" customFormat="1" x14ac:dyDescent="0.3"/>
    <row r="94" s="15" customFormat="1" x14ac:dyDescent="0.3"/>
    <row r="95" s="15" customFormat="1" x14ac:dyDescent="0.3"/>
    <row r="96" s="15" customFormat="1" x14ac:dyDescent="0.3"/>
    <row r="97" s="15" customFormat="1" x14ac:dyDescent="0.3"/>
    <row r="98" s="15" customFormat="1" x14ac:dyDescent="0.3"/>
    <row r="99" s="15" customFormat="1" x14ac:dyDescent="0.3"/>
    <row r="100" s="15" customFormat="1" x14ac:dyDescent="0.3"/>
    <row r="101" s="15" customFormat="1" x14ac:dyDescent="0.3"/>
    <row r="102" s="15" customFormat="1" x14ac:dyDescent="0.3"/>
    <row r="103" s="15" customFormat="1" x14ac:dyDescent="0.3"/>
    <row r="104" s="15" customFormat="1" x14ac:dyDescent="0.3"/>
    <row r="105" s="15" customFormat="1" x14ac:dyDescent="0.3"/>
    <row r="106" s="15" customFormat="1" x14ac:dyDescent="0.3"/>
    <row r="107" s="15" customFormat="1" x14ac:dyDescent="0.3"/>
    <row r="108" s="15" customFormat="1" x14ac:dyDescent="0.3"/>
    <row r="109" s="15" customFormat="1" x14ac:dyDescent="0.3"/>
    <row r="110" s="15" customFormat="1" x14ac:dyDescent="0.3"/>
    <row r="111" s="15" customFormat="1" x14ac:dyDescent="0.3"/>
    <row r="112" s="15" customFormat="1" x14ac:dyDescent="0.3"/>
    <row r="113" s="15" customFormat="1" x14ac:dyDescent="0.3"/>
    <row r="114" s="15" customFormat="1" x14ac:dyDescent="0.3"/>
    <row r="115" s="15" customFormat="1" x14ac:dyDescent="0.3"/>
    <row r="116" s="15" customFormat="1" x14ac:dyDescent="0.3"/>
    <row r="117" s="15" customFormat="1" x14ac:dyDescent="0.3"/>
    <row r="118" s="15" customFormat="1" x14ac:dyDescent="0.3"/>
    <row r="119" s="15" customFormat="1" x14ac:dyDescent="0.3"/>
    <row r="120" s="15" customFormat="1" x14ac:dyDescent="0.3"/>
    <row r="121" s="15" customFormat="1" x14ac:dyDescent="0.3"/>
    <row r="122" s="15" customFormat="1" x14ac:dyDescent="0.3"/>
    <row r="123" s="15" customFormat="1" x14ac:dyDescent="0.3"/>
    <row r="124" s="15" customFormat="1" x14ac:dyDescent="0.3"/>
    <row r="125" s="15" customFormat="1" x14ac:dyDescent="0.3"/>
    <row r="126" s="15" customFormat="1" x14ac:dyDescent="0.3"/>
    <row r="127" s="15" customFormat="1" x14ac:dyDescent="0.3"/>
    <row r="128" s="15" customFormat="1" x14ac:dyDescent="0.3"/>
    <row r="129" s="15" customFormat="1" x14ac:dyDescent="0.3"/>
    <row r="130" s="15" customFormat="1" x14ac:dyDescent="0.3"/>
    <row r="131" s="15" customFormat="1" x14ac:dyDescent="0.3"/>
    <row r="132" s="15" customFormat="1" x14ac:dyDescent="0.3"/>
    <row r="133" s="15" customFormat="1" x14ac:dyDescent="0.3"/>
    <row r="134" s="15" customFormat="1" x14ac:dyDescent="0.3"/>
    <row r="135" s="15" customFormat="1" x14ac:dyDescent="0.3"/>
    <row r="136" s="15" customFormat="1" x14ac:dyDescent="0.3"/>
    <row r="137" s="15" customFormat="1" x14ac:dyDescent="0.3"/>
    <row r="138" s="15" customFormat="1" x14ac:dyDescent="0.3"/>
    <row r="139" s="15" customFormat="1" x14ac:dyDescent="0.3"/>
    <row r="140" s="15" customFormat="1" x14ac:dyDescent="0.3"/>
    <row r="141" s="15" customFormat="1" x14ac:dyDescent="0.3"/>
    <row r="142" s="15" customFormat="1" x14ac:dyDescent="0.3"/>
    <row r="143" s="15" customFormat="1" x14ac:dyDescent="0.3"/>
    <row r="144" s="15" customFormat="1" x14ac:dyDescent="0.3"/>
    <row r="145" s="15" customFormat="1" x14ac:dyDescent="0.3"/>
    <row r="146" s="15" customFormat="1" x14ac:dyDescent="0.3"/>
    <row r="147" s="15" customFormat="1" x14ac:dyDescent="0.3"/>
    <row r="148" s="15" customFormat="1" x14ac:dyDescent="0.3"/>
    <row r="149" s="15" customFormat="1" x14ac:dyDescent="0.3"/>
    <row r="150" s="15" customFormat="1" x14ac:dyDescent="0.3"/>
    <row r="151" s="15" customFormat="1" x14ac:dyDescent="0.3"/>
    <row r="152" s="15" customFormat="1" x14ac:dyDescent="0.3"/>
    <row r="153" s="15" customFormat="1" x14ac:dyDescent="0.3"/>
    <row r="154" s="15" customFormat="1" x14ac:dyDescent="0.3"/>
    <row r="155" s="15" customFormat="1" x14ac:dyDescent="0.3"/>
    <row r="156" s="15" customFormat="1" x14ac:dyDescent="0.3"/>
    <row r="157" s="15" customFormat="1" x14ac:dyDescent="0.3"/>
    <row r="158" s="15" customFormat="1" x14ac:dyDescent="0.3"/>
    <row r="159" s="15" customFormat="1" x14ac:dyDescent="0.3"/>
    <row r="160" s="15" customFormat="1" x14ac:dyDescent="0.3"/>
    <row r="161" s="15" customFormat="1" x14ac:dyDescent="0.3"/>
    <row r="162" s="15" customFormat="1" x14ac:dyDescent="0.3"/>
    <row r="163" s="15" customFormat="1" x14ac:dyDescent="0.3"/>
    <row r="164" s="15" customFormat="1" x14ac:dyDescent="0.3"/>
    <row r="165" s="15" customFormat="1" x14ac:dyDescent="0.3"/>
    <row r="166" s="15" customFormat="1" x14ac:dyDescent="0.3"/>
    <row r="167" s="15" customFormat="1" x14ac:dyDescent="0.3"/>
    <row r="168" s="15" customFormat="1" x14ac:dyDescent="0.3"/>
    <row r="169" s="15" customFormat="1" x14ac:dyDescent="0.3"/>
    <row r="170" s="15" customFormat="1" x14ac:dyDescent="0.3"/>
    <row r="171" s="15" customFormat="1" x14ac:dyDescent="0.3"/>
    <row r="172" s="15" customFormat="1" x14ac:dyDescent="0.3"/>
    <row r="173" s="15" customFormat="1" x14ac:dyDescent="0.3"/>
    <row r="174" s="15" customFormat="1" x14ac:dyDescent="0.3"/>
    <row r="175" s="15" customFormat="1" x14ac:dyDescent="0.3"/>
    <row r="176" s="15" customFormat="1" x14ac:dyDescent="0.3"/>
    <row r="177" s="15" customFormat="1" x14ac:dyDescent="0.3"/>
    <row r="178" s="15" customFormat="1" x14ac:dyDescent="0.3"/>
    <row r="179" s="15" customFormat="1" x14ac:dyDescent="0.3"/>
    <row r="180" s="15" customFormat="1" x14ac:dyDescent="0.3"/>
    <row r="181" s="15" customFormat="1" x14ac:dyDescent="0.3"/>
    <row r="182" s="15" customFormat="1" x14ac:dyDescent="0.3"/>
    <row r="183" s="15" customFormat="1" x14ac:dyDescent="0.3"/>
    <row r="184" s="15" customFormat="1" x14ac:dyDescent="0.3"/>
    <row r="185" s="15" customFormat="1" x14ac:dyDescent="0.3"/>
    <row r="186" s="15" customFormat="1" x14ac:dyDescent="0.3"/>
    <row r="187" s="15" customFormat="1" x14ac:dyDescent="0.3"/>
    <row r="188" s="15" customFormat="1" x14ac:dyDescent="0.3"/>
    <row r="189" s="15" customFormat="1" x14ac:dyDescent="0.3"/>
    <row r="190" s="15" customFormat="1" x14ac:dyDescent="0.3"/>
    <row r="191" s="15" customFormat="1" x14ac:dyDescent="0.3"/>
    <row r="192" s="15" customFormat="1" x14ac:dyDescent="0.3"/>
    <row r="193" s="15" customFormat="1" x14ac:dyDescent="0.3"/>
    <row r="194" s="15" customFormat="1" x14ac:dyDescent="0.3"/>
    <row r="195" s="15" customFormat="1" x14ac:dyDescent="0.3"/>
    <row r="196" s="15" customFormat="1" x14ac:dyDescent="0.3"/>
    <row r="197" s="15" customFormat="1" x14ac:dyDescent="0.3"/>
    <row r="198" s="15" customFormat="1" x14ac:dyDescent="0.3"/>
    <row r="199" s="15" customFormat="1" x14ac:dyDescent="0.3"/>
    <row r="200" s="15" customFormat="1" x14ac:dyDescent="0.3"/>
    <row r="201" s="15" customFormat="1" x14ac:dyDescent="0.3"/>
    <row r="202" s="15" customFormat="1" x14ac:dyDescent="0.3"/>
    <row r="203" s="15" customFormat="1" x14ac:dyDescent="0.3"/>
    <row r="204" s="15" customFormat="1" x14ac:dyDescent="0.3"/>
    <row r="205" s="15" customFormat="1" x14ac:dyDescent="0.3"/>
    <row r="206" s="15" customFormat="1" x14ac:dyDescent="0.3"/>
    <row r="207" s="15" customFormat="1" x14ac:dyDescent="0.3"/>
    <row r="208" s="15" customFormat="1" x14ac:dyDescent="0.3"/>
    <row r="209" s="15" customFormat="1" x14ac:dyDescent="0.3"/>
    <row r="210" s="15" customFormat="1" x14ac:dyDescent="0.3"/>
    <row r="211" s="15" customFormat="1" x14ac:dyDescent="0.3"/>
    <row r="212" s="15" customFormat="1" x14ac:dyDescent="0.3"/>
    <row r="213" s="15" customFormat="1" x14ac:dyDescent="0.3"/>
    <row r="214" s="15" customFormat="1" x14ac:dyDescent="0.3"/>
    <row r="215" s="15" customFormat="1" x14ac:dyDescent="0.3"/>
    <row r="216" s="15" customFormat="1" x14ac:dyDescent="0.3"/>
    <row r="217" s="15" customFormat="1" x14ac:dyDescent="0.3"/>
    <row r="218" s="15" customFormat="1" x14ac:dyDescent="0.3"/>
    <row r="219" s="15" customFormat="1" x14ac:dyDescent="0.3"/>
    <row r="220" s="15" customFormat="1" x14ac:dyDescent="0.3"/>
    <row r="221" s="15" customFormat="1" x14ac:dyDescent="0.3"/>
    <row r="222" s="15" customFormat="1" x14ac:dyDescent="0.3"/>
    <row r="223" s="15" customFormat="1" x14ac:dyDescent="0.3"/>
    <row r="224" s="15" customFormat="1" x14ac:dyDescent="0.3"/>
    <row r="225" s="15" customFormat="1" x14ac:dyDescent="0.3"/>
    <row r="226" s="15" customFormat="1" x14ac:dyDescent="0.3"/>
    <row r="227" s="15" customFormat="1" x14ac:dyDescent="0.3"/>
    <row r="228" s="15" customFormat="1" x14ac:dyDescent="0.3"/>
    <row r="229" s="15" customFormat="1" x14ac:dyDescent="0.3"/>
    <row r="230" s="15" customFormat="1" x14ac:dyDescent="0.3"/>
    <row r="231" s="15" customFormat="1" x14ac:dyDescent="0.3"/>
    <row r="232" s="15" customFormat="1" x14ac:dyDescent="0.3"/>
    <row r="233" s="15" customFormat="1" x14ac:dyDescent="0.3"/>
    <row r="234" s="15" customFormat="1" x14ac:dyDescent="0.3"/>
    <row r="235" s="15" customFormat="1" x14ac:dyDescent="0.3"/>
    <row r="236" s="15" customFormat="1" x14ac:dyDescent="0.3"/>
    <row r="237" s="15" customFormat="1" x14ac:dyDescent="0.3"/>
    <row r="238" s="15" customFormat="1" x14ac:dyDescent="0.3"/>
    <row r="239" s="15" customFormat="1" x14ac:dyDescent="0.3"/>
    <row r="240" s="15" customFormat="1" x14ac:dyDescent="0.3"/>
    <row r="241" s="15" customFormat="1" x14ac:dyDescent="0.3"/>
    <row r="242" s="15" customFormat="1" x14ac:dyDescent="0.3"/>
    <row r="243" s="15" customFormat="1" x14ac:dyDescent="0.3"/>
    <row r="244" s="15" customFormat="1" x14ac:dyDescent="0.3"/>
    <row r="245" s="15" customFormat="1" x14ac:dyDescent="0.3"/>
    <row r="246" s="15" customFormat="1" x14ac:dyDescent="0.3"/>
    <row r="247" s="15" customFormat="1" x14ac:dyDescent="0.3"/>
    <row r="248" s="15" customFormat="1" x14ac:dyDescent="0.3"/>
    <row r="249" s="15" customFormat="1" x14ac:dyDescent="0.3"/>
    <row r="250" s="15" customFormat="1" x14ac:dyDescent="0.3"/>
    <row r="251" s="15" customFormat="1" x14ac:dyDescent="0.3"/>
    <row r="252" s="15" customFormat="1" x14ac:dyDescent="0.3"/>
    <row r="253" s="15" customFormat="1" x14ac:dyDescent="0.3"/>
    <row r="254" s="15" customFormat="1" x14ac:dyDescent="0.3"/>
    <row r="255" s="15" customFormat="1" x14ac:dyDescent="0.3"/>
    <row r="256" s="15" customFormat="1" x14ac:dyDescent="0.3"/>
    <row r="257" s="15" customFormat="1" x14ac:dyDescent="0.3"/>
    <row r="258" s="15" customFormat="1" x14ac:dyDescent="0.3"/>
    <row r="259" s="15" customFormat="1" x14ac:dyDescent="0.3"/>
    <row r="260" s="15" customFormat="1" x14ac:dyDescent="0.3"/>
    <row r="261" s="15" customFormat="1" x14ac:dyDescent="0.3"/>
    <row r="262" s="15" customFormat="1" x14ac:dyDescent="0.3"/>
    <row r="263" s="15" customFormat="1" x14ac:dyDescent="0.3"/>
    <row r="264" s="15" customFormat="1" x14ac:dyDescent="0.3"/>
    <row r="265" s="15" customFormat="1" x14ac:dyDescent="0.3"/>
    <row r="266" s="15" customFormat="1" x14ac:dyDescent="0.3"/>
    <row r="267" s="15" customFormat="1" x14ac:dyDescent="0.3"/>
    <row r="268" s="15" customFormat="1" x14ac:dyDescent="0.3"/>
    <row r="269" s="15" customFormat="1" x14ac:dyDescent="0.3"/>
    <row r="270" s="15" customFormat="1" x14ac:dyDescent="0.3"/>
    <row r="271" s="15" customFormat="1" x14ac:dyDescent="0.3"/>
    <row r="272" s="15" customFormat="1" x14ac:dyDescent="0.3"/>
    <row r="273" s="15" customFormat="1" x14ac:dyDescent="0.3"/>
    <row r="274" s="15" customFormat="1" x14ac:dyDescent="0.3"/>
    <row r="275" s="15" customFormat="1" x14ac:dyDescent="0.3"/>
    <row r="276" s="15" customFormat="1" x14ac:dyDescent="0.3"/>
    <row r="277" s="15" customFormat="1" x14ac:dyDescent="0.3"/>
    <row r="278" s="15" customFormat="1" x14ac:dyDescent="0.3"/>
    <row r="279" s="15" customFormat="1" x14ac:dyDescent="0.3"/>
    <row r="280" s="15" customFormat="1" x14ac:dyDescent="0.3"/>
    <row r="281" s="15" customFormat="1" x14ac:dyDescent="0.3"/>
    <row r="282" s="15" customFormat="1" x14ac:dyDescent="0.3"/>
    <row r="283" s="15" customFormat="1" x14ac:dyDescent="0.3"/>
    <row r="284" s="15" customFormat="1" x14ac:dyDescent="0.3"/>
    <row r="285" s="15" customFormat="1" x14ac:dyDescent="0.3"/>
    <row r="286" s="15" customFormat="1" x14ac:dyDescent="0.3"/>
    <row r="287" s="15" customFormat="1" x14ac:dyDescent="0.3"/>
    <row r="288" s="15" customFormat="1" x14ac:dyDescent="0.3"/>
    <row r="289" s="15" customFormat="1" x14ac:dyDescent="0.3"/>
    <row r="290" s="15" customFormat="1" x14ac:dyDescent="0.3"/>
    <row r="291" s="15" customFormat="1" x14ac:dyDescent="0.3"/>
    <row r="292" s="15" customFormat="1" x14ac:dyDescent="0.3"/>
    <row r="293" s="15" customFormat="1" x14ac:dyDescent="0.3"/>
    <row r="294" s="15" customFormat="1" x14ac:dyDescent="0.3"/>
    <row r="295" s="15" customFormat="1" x14ac:dyDescent="0.3"/>
    <row r="296" s="15" customFormat="1" x14ac:dyDescent="0.3"/>
    <row r="297" s="15" customFormat="1" x14ac:dyDescent="0.3"/>
    <row r="298" s="15" customFormat="1" x14ac:dyDescent="0.3"/>
    <row r="299" s="15" customFormat="1" x14ac:dyDescent="0.3"/>
    <row r="300" s="15" customFormat="1" x14ac:dyDescent="0.3"/>
    <row r="301" s="15" customFormat="1" x14ac:dyDescent="0.3"/>
    <row r="302" s="15" customFormat="1" x14ac:dyDescent="0.3"/>
    <row r="303" s="15" customFormat="1" x14ac:dyDescent="0.3"/>
    <row r="304" s="15" customFormat="1" x14ac:dyDescent="0.3"/>
    <row r="305" s="15" customFormat="1" x14ac:dyDescent="0.3"/>
    <row r="306" s="15" customFormat="1" x14ac:dyDescent="0.3"/>
    <row r="307" s="15" customFormat="1" x14ac:dyDescent="0.3"/>
    <row r="308" s="15" customFormat="1" x14ac:dyDescent="0.3"/>
    <row r="309" s="15" customFormat="1" x14ac:dyDescent="0.3"/>
    <row r="310" s="15" customFormat="1" x14ac:dyDescent="0.3"/>
    <row r="311" s="15" customFormat="1" x14ac:dyDescent="0.3"/>
    <row r="312" s="15" customFormat="1" x14ac:dyDescent="0.3"/>
    <row r="313" s="15" customFormat="1" x14ac:dyDescent="0.3"/>
    <row r="314" s="15" customFormat="1" x14ac:dyDescent="0.3"/>
    <row r="315" s="15" customFormat="1" x14ac:dyDescent="0.3"/>
    <row r="316" s="15" customFormat="1" x14ac:dyDescent="0.3"/>
    <row r="317" s="15" customFormat="1" x14ac:dyDescent="0.3"/>
    <row r="318" s="15" customFormat="1" x14ac:dyDescent="0.3"/>
    <row r="319" s="15" customFormat="1" x14ac:dyDescent="0.3"/>
    <row r="320" s="15" customFormat="1" x14ac:dyDescent="0.3"/>
    <row r="321" s="15" customFormat="1" x14ac:dyDescent="0.3"/>
    <row r="322" s="15" customFormat="1" x14ac:dyDescent="0.3"/>
    <row r="323" s="15" customFormat="1" x14ac:dyDescent="0.3"/>
    <row r="324" s="15" customFormat="1" x14ac:dyDescent="0.3"/>
    <row r="325" s="15" customFormat="1" x14ac:dyDescent="0.3"/>
    <row r="326" s="15" customFormat="1" x14ac:dyDescent="0.3"/>
    <row r="327" s="15" customFormat="1" x14ac:dyDescent="0.3"/>
    <row r="328" s="15" customFormat="1" x14ac:dyDescent="0.3"/>
    <row r="329" s="15" customFormat="1" x14ac:dyDescent="0.3"/>
    <row r="330" s="15" customFormat="1" x14ac:dyDescent="0.3"/>
    <row r="331" s="15" customFormat="1" x14ac:dyDescent="0.3"/>
    <row r="332" s="15" customFormat="1" x14ac:dyDescent="0.3"/>
    <row r="333" s="15" customFormat="1" x14ac:dyDescent="0.3"/>
    <row r="334" s="15" customFormat="1" x14ac:dyDescent="0.3"/>
    <row r="335" s="15" customFormat="1" x14ac:dyDescent="0.3"/>
    <row r="336" s="15" customFormat="1" x14ac:dyDescent="0.3"/>
    <row r="337" s="15" customFormat="1" x14ac:dyDescent="0.3"/>
    <row r="338" s="15" customFormat="1" x14ac:dyDescent="0.3"/>
    <row r="339" s="15" customFormat="1" x14ac:dyDescent="0.3"/>
    <row r="340" s="15" customFormat="1" x14ac:dyDescent="0.3"/>
    <row r="341" s="15" customFormat="1" x14ac:dyDescent="0.3"/>
    <row r="342" s="15" customFormat="1" x14ac:dyDescent="0.3"/>
    <row r="343" s="15" customFormat="1" x14ac:dyDescent="0.3"/>
    <row r="344" s="15" customFormat="1" x14ac:dyDescent="0.3"/>
    <row r="345" s="15" customFormat="1" x14ac:dyDescent="0.3"/>
    <row r="346" s="15" customFormat="1" x14ac:dyDescent="0.3"/>
    <row r="347" s="15" customFormat="1" x14ac:dyDescent="0.3"/>
    <row r="348" s="15" customFormat="1" x14ac:dyDescent="0.3"/>
    <row r="349" s="15" customFormat="1" x14ac:dyDescent="0.3"/>
    <row r="350" s="15" customFormat="1" x14ac:dyDescent="0.3"/>
    <row r="351" s="15" customFormat="1" x14ac:dyDescent="0.3"/>
    <row r="352" s="15" customFormat="1" x14ac:dyDescent="0.3"/>
    <row r="353" s="15" customFormat="1" x14ac:dyDescent="0.3"/>
    <row r="354" s="15" customFormat="1" x14ac:dyDescent="0.3"/>
    <row r="355" s="15" customFormat="1" x14ac:dyDescent="0.3"/>
    <row r="356" s="15" customFormat="1" x14ac:dyDescent="0.3"/>
    <row r="357" s="15" customFormat="1" x14ac:dyDescent="0.3"/>
    <row r="358" s="15" customFormat="1" x14ac:dyDescent="0.3"/>
    <row r="359" s="15" customFormat="1" x14ac:dyDescent="0.3"/>
    <row r="360" s="15" customFormat="1" x14ac:dyDescent="0.3"/>
    <row r="361" s="15" customFormat="1" x14ac:dyDescent="0.3"/>
    <row r="362" s="15" customFormat="1" x14ac:dyDescent="0.3"/>
    <row r="363" s="15" customFormat="1" x14ac:dyDescent="0.3"/>
    <row r="364" s="15" customFormat="1" x14ac:dyDescent="0.3"/>
    <row r="365" s="15" customFormat="1" x14ac:dyDescent="0.3"/>
    <row r="366" s="15" customFormat="1" x14ac:dyDescent="0.3"/>
    <row r="367" s="15" customFormat="1" x14ac:dyDescent="0.3"/>
    <row r="368" s="15" customFormat="1" x14ac:dyDescent="0.3"/>
    <row r="369" s="15" customFormat="1" x14ac:dyDescent="0.3"/>
    <row r="370" s="15" customFormat="1" x14ac:dyDescent="0.3"/>
    <row r="371" s="15" customFormat="1" x14ac:dyDescent="0.3"/>
    <row r="372" s="15" customFormat="1" x14ac:dyDescent="0.3"/>
    <row r="373" s="15" customFormat="1" x14ac:dyDescent="0.3"/>
    <row r="374" s="15" customFormat="1" x14ac:dyDescent="0.3"/>
    <row r="375" s="15" customFormat="1" x14ac:dyDescent="0.3"/>
    <row r="376" s="15" customFormat="1" x14ac:dyDescent="0.3"/>
    <row r="377" s="15" customFormat="1" x14ac:dyDescent="0.3"/>
    <row r="378" s="15" customFormat="1" x14ac:dyDescent="0.3"/>
    <row r="379" s="15" customFormat="1" x14ac:dyDescent="0.3"/>
    <row r="380" s="15" customFormat="1" x14ac:dyDescent="0.3"/>
    <row r="381" s="15" customFormat="1" x14ac:dyDescent="0.3"/>
    <row r="382" s="15" customFormat="1" x14ac:dyDescent="0.3"/>
    <row r="383" s="15" customFormat="1" x14ac:dyDescent="0.3"/>
    <row r="384" s="15" customFormat="1" x14ac:dyDescent="0.3"/>
    <row r="385" s="15" customFormat="1" x14ac:dyDescent="0.3"/>
    <row r="386" s="15" customFormat="1" x14ac:dyDescent="0.3"/>
    <row r="387" s="15" customFormat="1" x14ac:dyDescent="0.3"/>
    <row r="388" s="15" customFormat="1" x14ac:dyDescent="0.3"/>
    <row r="389" s="15" customFormat="1" x14ac:dyDescent="0.3"/>
    <row r="390" s="15" customFormat="1" x14ac:dyDescent="0.3"/>
    <row r="391" s="15" customFormat="1" x14ac:dyDescent="0.3"/>
    <row r="392" s="15" customFormat="1" x14ac:dyDescent="0.3"/>
    <row r="393" s="15" customFormat="1" x14ac:dyDescent="0.3"/>
    <row r="394" s="15" customFormat="1" x14ac:dyDescent="0.3"/>
    <row r="395" s="15" customFormat="1" x14ac:dyDescent="0.3"/>
    <row r="396" s="15" customFormat="1" x14ac:dyDescent="0.3"/>
    <row r="397" s="15" customFormat="1" x14ac:dyDescent="0.3"/>
    <row r="398" s="15" customFormat="1" x14ac:dyDescent="0.3"/>
    <row r="399" s="15" customFormat="1" x14ac:dyDescent="0.3"/>
    <row r="400" s="15" customFormat="1" x14ac:dyDescent="0.3"/>
    <row r="401" s="15" customFormat="1" x14ac:dyDescent="0.3"/>
    <row r="402" s="15" customFormat="1" x14ac:dyDescent="0.3"/>
    <row r="403" s="15" customFormat="1" x14ac:dyDescent="0.3"/>
    <row r="404" s="15" customFormat="1" x14ac:dyDescent="0.3"/>
    <row r="405" s="15" customFormat="1" x14ac:dyDescent="0.3"/>
    <row r="406" s="15" customFormat="1" x14ac:dyDescent="0.3"/>
    <row r="407" s="15" customFormat="1" x14ac:dyDescent="0.3"/>
    <row r="408" s="15" customFormat="1" x14ac:dyDescent="0.3"/>
    <row r="409" s="15" customFormat="1" x14ac:dyDescent="0.3"/>
    <row r="410" s="15" customFormat="1" x14ac:dyDescent="0.3"/>
    <row r="411" s="15" customFormat="1" x14ac:dyDescent="0.3"/>
    <row r="412" s="15" customFormat="1" x14ac:dyDescent="0.3"/>
    <row r="413" s="15" customFormat="1" x14ac:dyDescent="0.3"/>
    <row r="414" s="15" customFormat="1" x14ac:dyDescent="0.3"/>
    <row r="415" s="15" customFormat="1" x14ac:dyDescent="0.3"/>
    <row r="416" s="15" customFormat="1" x14ac:dyDescent="0.3"/>
    <row r="417" s="15" customFormat="1" x14ac:dyDescent="0.3"/>
    <row r="418" s="15" customFormat="1" x14ac:dyDescent="0.3"/>
    <row r="419" s="15" customFormat="1" x14ac:dyDescent="0.3"/>
    <row r="420" s="15" customFormat="1" x14ac:dyDescent="0.3"/>
    <row r="421" s="15" customFormat="1" x14ac:dyDescent="0.3"/>
    <row r="422" s="15" customFormat="1" x14ac:dyDescent="0.3"/>
    <row r="423" s="15" customFormat="1" x14ac:dyDescent="0.3"/>
    <row r="424" s="15" customFormat="1" x14ac:dyDescent="0.3"/>
    <row r="425" s="15" customFormat="1" x14ac:dyDescent="0.3"/>
    <row r="426" s="15" customFormat="1" x14ac:dyDescent="0.3"/>
    <row r="427" s="15" customFormat="1" x14ac:dyDescent="0.3"/>
    <row r="428" s="15" customFormat="1" x14ac:dyDescent="0.3"/>
    <row r="429" s="15" customFormat="1" x14ac:dyDescent="0.3"/>
    <row r="430" s="15" customFormat="1" x14ac:dyDescent="0.3"/>
    <row r="431" s="15" customFormat="1" x14ac:dyDescent="0.3"/>
    <row r="432" s="15" customFormat="1" x14ac:dyDescent="0.3"/>
    <row r="433" s="15" customFormat="1" x14ac:dyDescent="0.3"/>
    <row r="434" s="15" customFormat="1" x14ac:dyDescent="0.3"/>
    <row r="435" s="15" customFormat="1" x14ac:dyDescent="0.3"/>
    <row r="436" s="15" customFormat="1" x14ac:dyDescent="0.3"/>
    <row r="437" s="15" customFormat="1" x14ac:dyDescent="0.3"/>
    <row r="438" s="15" customFormat="1" x14ac:dyDescent="0.3"/>
    <row r="439" s="15" customFormat="1" x14ac:dyDescent="0.3"/>
    <row r="440" s="15" customFormat="1" x14ac:dyDescent="0.3"/>
    <row r="441" s="15" customFormat="1" x14ac:dyDescent="0.3"/>
    <row r="442" s="15" customFormat="1" x14ac:dyDescent="0.3"/>
    <row r="443" s="15" customFormat="1" x14ac:dyDescent="0.3"/>
    <row r="444" s="15" customFormat="1" x14ac:dyDescent="0.3"/>
    <row r="445" s="15" customFormat="1" x14ac:dyDescent="0.3"/>
    <row r="446" s="15" customFormat="1" x14ac:dyDescent="0.3"/>
    <row r="447" s="15" customFormat="1" x14ac:dyDescent="0.3"/>
    <row r="448" s="15" customFormat="1" x14ac:dyDescent="0.3"/>
    <row r="449" s="15" customFormat="1" x14ac:dyDescent="0.3"/>
    <row r="450" s="15" customFormat="1" x14ac:dyDescent="0.3"/>
    <row r="451" s="15" customFormat="1" x14ac:dyDescent="0.3"/>
    <row r="452" s="15" customFormat="1" x14ac:dyDescent="0.3"/>
    <row r="453" s="15" customFormat="1" x14ac:dyDescent="0.3"/>
    <row r="454" s="15" customFormat="1" x14ac:dyDescent="0.3"/>
    <row r="455" s="15" customFormat="1" x14ac:dyDescent="0.3"/>
    <row r="456" s="15" customFormat="1" x14ac:dyDescent="0.3"/>
    <row r="457" s="15" customFormat="1" x14ac:dyDescent="0.3"/>
    <row r="458" s="15" customFormat="1" x14ac:dyDescent="0.3"/>
    <row r="459" s="15" customFormat="1" x14ac:dyDescent="0.3"/>
    <row r="460" s="15" customFormat="1" x14ac:dyDescent="0.3"/>
    <row r="461" s="15" customFormat="1" x14ac:dyDescent="0.3"/>
    <row r="462" s="15" customFormat="1" x14ac:dyDescent="0.3"/>
    <row r="463" s="15" customFormat="1" x14ac:dyDescent="0.3"/>
    <row r="464" s="15" customFormat="1" x14ac:dyDescent="0.3"/>
    <row r="465" s="15" customFormat="1" x14ac:dyDescent="0.3"/>
    <row r="466" s="15" customFormat="1" x14ac:dyDescent="0.3"/>
    <row r="467" s="15" customFormat="1" x14ac:dyDescent="0.3"/>
    <row r="468" s="15" customFormat="1" x14ac:dyDescent="0.3"/>
    <row r="469" s="15" customFormat="1" x14ac:dyDescent="0.3"/>
    <row r="470" s="15" customFormat="1" x14ac:dyDescent="0.3"/>
    <row r="471" s="15" customFormat="1" x14ac:dyDescent="0.3"/>
    <row r="472" s="15" customFormat="1" x14ac:dyDescent="0.3"/>
    <row r="473" s="15" customFormat="1" x14ac:dyDescent="0.3"/>
    <row r="474" s="15" customFormat="1" x14ac:dyDescent="0.3"/>
    <row r="475" s="15" customFormat="1" x14ac:dyDescent="0.3"/>
    <row r="476" s="15" customFormat="1" x14ac:dyDescent="0.3"/>
    <row r="477" s="15" customFormat="1" x14ac:dyDescent="0.3"/>
    <row r="478" s="15" customFormat="1" x14ac:dyDescent="0.3"/>
    <row r="479" s="15" customFormat="1" x14ac:dyDescent="0.3"/>
    <row r="480" s="15" customFormat="1" x14ac:dyDescent="0.3"/>
    <row r="481" s="15" customFormat="1" x14ac:dyDescent="0.3"/>
    <row r="482" s="15" customFormat="1" x14ac:dyDescent="0.3"/>
    <row r="483" s="15" customFormat="1" x14ac:dyDescent="0.3"/>
    <row r="484" s="15" customFormat="1" x14ac:dyDescent="0.3"/>
    <row r="485" s="15" customFormat="1" x14ac:dyDescent="0.3"/>
    <row r="486" s="15" customFormat="1" x14ac:dyDescent="0.3"/>
    <row r="487" s="15" customFormat="1" x14ac:dyDescent="0.3"/>
    <row r="488" s="15" customFormat="1" x14ac:dyDescent="0.3"/>
    <row r="489" s="15" customFormat="1" x14ac:dyDescent="0.3"/>
    <row r="490" s="15" customFormat="1" x14ac:dyDescent="0.3"/>
    <row r="491" s="15" customFormat="1" x14ac:dyDescent="0.3"/>
    <row r="492" s="15" customFormat="1" x14ac:dyDescent="0.3"/>
    <row r="493" s="15" customFormat="1" x14ac:dyDescent="0.3"/>
    <row r="494" s="15" customFormat="1" x14ac:dyDescent="0.3"/>
    <row r="495" s="15" customFormat="1" x14ac:dyDescent="0.3"/>
    <row r="496" s="15" customFormat="1" x14ac:dyDescent="0.3"/>
    <row r="497" s="15" customFormat="1" x14ac:dyDescent="0.3"/>
    <row r="498" s="15" customFormat="1" x14ac:dyDescent="0.3"/>
    <row r="499" s="15" customFormat="1" x14ac:dyDescent="0.3"/>
    <row r="500" s="15" customFormat="1" x14ac:dyDescent="0.3"/>
    <row r="501" s="15" customFormat="1" x14ac:dyDescent="0.3"/>
    <row r="502" s="15" customFormat="1" x14ac:dyDescent="0.3"/>
    <row r="503" s="15" customFormat="1" x14ac:dyDescent="0.3"/>
    <row r="504" s="15" customFormat="1" x14ac:dyDescent="0.3"/>
    <row r="505" s="15" customFormat="1" x14ac:dyDescent="0.3"/>
    <row r="506" s="15" customFormat="1" x14ac:dyDescent="0.3"/>
    <row r="507" s="15" customFormat="1" x14ac:dyDescent="0.3"/>
    <row r="508" s="15" customFormat="1" x14ac:dyDescent="0.3"/>
    <row r="509" s="15" customFormat="1" x14ac:dyDescent="0.3"/>
    <row r="510" s="15" customFormat="1" x14ac:dyDescent="0.3"/>
    <row r="511" s="15" customFormat="1" x14ac:dyDescent="0.3"/>
    <row r="512" s="15" customFormat="1" x14ac:dyDescent="0.3"/>
    <row r="513" s="15" customFormat="1" x14ac:dyDescent="0.3"/>
    <row r="514" s="15" customFormat="1" x14ac:dyDescent="0.3"/>
    <row r="515" s="15" customFormat="1" x14ac:dyDescent="0.3"/>
    <row r="516" s="15" customFormat="1" x14ac:dyDescent="0.3"/>
    <row r="517" s="15" customFormat="1" x14ac:dyDescent="0.3"/>
    <row r="518" s="15" customFormat="1" x14ac:dyDescent="0.3"/>
    <row r="519" s="15" customFormat="1" x14ac:dyDescent="0.3"/>
    <row r="520" s="15" customFormat="1" x14ac:dyDescent="0.3"/>
    <row r="521" s="15" customFormat="1" x14ac:dyDescent="0.3"/>
    <row r="522" s="15" customFormat="1" x14ac:dyDescent="0.3"/>
    <row r="523" s="15" customFormat="1" x14ac:dyDescent="0.3"/>
    <row r="524" s="15" customFormat="1" x14ac:dyDescent="0.3"/>
    <row r="525" s="15" customFormat="1" x14ac:dyDescent="0.3"/>
    <row r="526" s="15" customFormat="1" x14ac:dyDescent="0.3"/>
    <row r="527" s="15" customFormat="1" x14ac:dyDescent="0.3"/>
    <row r="528" s="15" customFormat="1" x14ac:dyDescent="0.3"/>
    <row r="529" s="15" customFormat="1" x14ac:dyDescent="0.3"/>
    <row r="530" s="15" customFormat="1" x14ac:dyDescent="0.3"/>
    <row r="531" s="15" customFormat="1" x14ac:dyDescent="0.3"/>
    <row r="532" s="15" customFormat="1" x14ac:dyDescent="0.3"/>
    <row r="533" s="15" customFormat="1" x14ac:dyDescent="0.3"/>
    <row r="534" s="15" customFormat="1" x14ac:dyDescent="0.3"/>
    <row r="535" s="15" customFormat="1" x14ac:dyDescent="0.3"/>
    <row r="536" s="15" customFormat="1" x14ac:dyDescent="0.3"/>
    <row r="537" s="15" customFormat="1" x14ac:dyDescent="0.3"/>
    <row r="538" s="15" customFormat="1" x14ac:dyDescent="0.3"/>
    <row r="539" s="15" customFormat="1" x14ac:dyDescent="0.3"/>
    <row r="540" s="15" customFormat="1" x14ac:dyDescent="0.3"/>
    <row r="541" s="15" customFormat="1" x14ac:dyDescent="0.3"/>
    <row r="542" s="15" customFormat="1" x14ac:dyDescent="0.3"/>
    <row r="543" s="15" customFormat="1" x14ac:dyDescent="0.3"/>
    <row r="544" s="15" customFormat="1" x14ac:dyDescent="0.3"/>
    <row r="545" s="15" customFormat="1" x14ac:dyDescent="0.3"/>
    <row r="546" s="15" customFormat="1" x14ac:dyDescent="0.3"/>
    <row r="547" s="15" customFormat="1" x14ac:dyDescent="0.3"/>
    <row r="548" s="15" customFormat="1" x14ac:dyDescent="0.3"/>
    <row r="549" s="15" customFormat="1" x14ac:dyDescent="0.3"/>
    <row r="550" s="15" customFormat="1" x14ac:dyDescent="0.3"/>
    <row r="551" s="15" customFormat="1" x14ac:dyDescent="0.3"/>
    <row r="552" s="15" customFormat="1" x14ac:dyDescent="0.3"/>
    <row r="553" s="15" customFormat="1" x14ac:dyDescent="0.3"/>
    <row r="554" s="15" customFormat="1" x14ac:dyDescent="0.3"/>
    <row r="555" s="15" customFormat="1" x14ac:dyDescent="0.3"/>
    <row r="556" s="15" customFormat="1" x14ac:dyDescent="0.3"/>
    <row r="557" s="15" customFormat="1" x14ac:dyDescent="0.3"/>
    <row r="558" s="15" customFormat="1" x14ac:dyDescent="0.3"/>
    <row r="559" s="15" customFormat="1" x14ac:dyDescent="0.3"/>
    <row r="560" s="15" customFormat="1" x14ac:dyDescent="0.3"/>
    <row r="561" s="15" customFormat="1" x14ac:dyDescent="0.3"/>
    <row r="562" s="15" customFormat="1" x14ac:dyDescent="0.3"/>
    <row r="563" s="15" customFormat="1" x14ac:dyDescent="0.3"/>
    <row r="564" s="15" customFormat="1" x14ac:dyDescent="0.3"/>
    <row r="565" s="15" customFormat="1" x14ac:dyDescent="0.3"/>
    <row r="566" s="15" customFormat="1" x14ac:dyDescent="0.3"/>
    <row r="567" s="15" customFormat="1" x14ac:dyDescent="0.3"/>
    <row r="568" s="15" customFormat="1" x14ac:dyDescent="0.3"/>
    <row r="569" s="15" customFormat="1" x14ac:dyDescent="0.3"/>
    <row r="570" s="15" customFormat="1" x14ac:dyDescent="0.3"/>
    <row r="571" s="15" customFormat="1" x14ac:dyDescent="0.3"/>
    <row r="572" s="15" customFormat="1" x14ac:dyDescent="0.3"/>
    <row r="573" s="15" customFormat="1" x14ac:dyDescent="0.3"/>
    <row r="574" s="15" customFormat="1" x14ac:dyDescent="0.3"/>
    <row r="575" s="15" customFormat="1" x14ac:dyDescent="0.3"/>
    <row r="576" s="15" customFormat="1" x14ac:dyDescent="0.3"/>
    <row r="577" s="15" customFormat="1" x14ac:dyDescent="0.3"/>
    <row r="578" s="15" customFormat="1" x14ac:dyDescent="0.3"/>
    <row r="579" s="15" customFormat="1" x14ac:dyDescent="0.3"/>
    <row r="580" s="15" customFormat="1" x14ac:dyDescent="0.3"/>
    <row r="581" s="15" customFormat="1" x14ac:dyDescent="0.3"/>
    <row r="582" s="15" customFormat="1" x14ac:dyDescent="0.3"/>
    <row r="583" s="15" customFormat="1" x14ac:dyDescent="0.3"/>
    <row r="584" s="15" customFormat="1" x14ac:dyDescent="0.3"/>
    <row r="585" s="15" customFormat="1" x14ac:dyDescent="0.3"/>
    <row r="586" s="15" customFormat="1" x14ac:dyDescent="0.3"/>
    <row r="587" s="15" customFormat="1" x14ac:dyDescent="0.3"/>
    <row r="588" s="15" customFormat="1" x14ac:dyDescent="0.3"/>
    <row r="589" s="15" customFormat="1" x14ac:dyDescent="0.3"/>
    <row r="590" s="15" customFormat="1" x14ac:dyDescent="0.3"/>
    <row r="591" s="15" customFormat="1" x14ac:dyDescent="0.3"/>
    <row r="592" s="15" customFormat="1" x14ac:dyDescent="0.3"/>
    <row r="593" s="15" customFormat="1" x14ac:dyDescent="0.3"/>
    <row r="594" s="15" customFormat="1" x14ac:dyDescent="0.3"/>
    <row r="595" s="15" customFormat="1" x14ac:dyDescent="0.3"/>
    <row r="596" s="15" customFormat="1" x14ac:dyDescent="0.3"/>
    <row r="597" s="15" customFormat="1" x14ac:dyDescent="0.3"/>
    <row r="598" s="15" customFormat="1" x14ac:dyDescent="0.3"/>
    <row r="599" s="15" customFormat="1" x14ac:dyDescent="0.3"/>
    <row r="600" s="15" customFormat="1" x14ac:dyDescent="0.3"/>
    <row r="601" s="15" customFormat="1" x14ac:dyDescent="0.3"/>
    <row r="602" s="15" customFormat="1" x14ac:dyDescent="0.3"/>
    <row r="603" s="15" customFormat="1" x14ac:dyDescent="0.3"/>
    <row r="604" s="15" customFormat="1" x14ac:dyDescent="0.3"/>
    <row r="605" s="15" customFormat="1" x14ac:dyDescent="0.3"/>
    <row r="606" s="15" customFormat="1" x14ac:dyDescent="0.3"/>
    <row r="607" s="15" customFormat="1" x14ac:dyDescent="0.3"/>
    <row r="608" s="15" customFormat="1" x14ac:dyDescent="0.3"/>
    <row r="609" s="15" customFormat="1" x14ac:dyDescent="0.3"/>
    <row r="610" s="15" customFormat="1" x14ac:dyDescent="0.3"/>
    <row r="611" s="15" customFormat="1" x14ac:dyDescent="0.3"/>
    <row r="612" s="15" customFormat="1" x14ac:dyDescent="0.3"/>
    <row r="613" s="15" customFormat="1" x14ac:dyDescent="0.3"/>
    <row r="614" s="15" customFormat="1" x14ac:dyDescent="0.3"/>
    <row r="615" s="15" customFormat="1" x14ac:dyDescent="0.3"/>
    <row r="616" s="15" customFormat="1" x14ac:dyDescent="0.3"/>
    <row r="617" s="15" customFormat="1" x14ac:dyDescent="0.3"/>
    <row r="618" s="15" customFormat="1" x14ac:dyDescent="0.3"/>
    <row r="619" s="15" customFormat="1" x14ac:dyDescent="0.3"/>
    <row r="620" s="15" customFormat="1" x14ac:dyDescent="0.3"/>
    <row r="621" s="15" customFormat="1" x14ac:dyDescent="0.3"/>
    <row r="622" s="15" customFormat="1" x14ac:dyDescent="0.3"/>
    <row r="623" s="15" customFormat="1" x14ac:dyDescent="0.3"/>
    <row r="624" s="15" customFormat="1" x14ac:dyDescent="0.3"/>
    <row r="625" s="15" customFormat="1" x14ac:dyDescent="0.3"/>
    <row r="626" s="15" customFormat="1" x14ac:dyDescent="0.3"/>
    <row r="627" s="15" customFormat="1" x14ac:dyDescent="0.3"/>
    <row r="628" s="15" customFormat="1" x14ac:dyDescent="0.3"/>
    <row r="629" s="15" customFormat="1" x14ac:dyDescent="0.3"/>
    <row r="630" s="15" customFormat="1" x14ac:dyDescent="0.3"/>
    <row r="631" s="15" customFormat="1" x14ac:dyDescent="0.3"/>
    <row r="632" s="15" customFormat="1" x14ac:dyDescent="0.3"/>
    <row r="633" s="15" customFormat="1" x14ac:dyDescent="0.3"/>
    <row r="634" s="15" customFormat="1" x14ac:dyDescent="0.3"/>
    <row r="635" s="15" customFormat="1" x14ac:dyDescent="0.3"/>
    <row r="636" s="15" customFormat="1" x14ac:dyDescent="0.3"/>
    <row r="637" s="15" customFormat="1" x14ac:dyDescent="0.3"/>
    <row r="638" s="15" customFormat="1" x14ac:dyDescent="0.3"/>
    <row r="639" s="15" customFormat="1" x14ac:dyDescent="0.3"/>
    <row r="640" s="15" customFormat="1" x14ac:dyDescent="0.3"/>
    <row r="641" s="15" customFormat="1" x14ac:dyDescent="0.3"/>
    <row r="642" s="15" customFormat="1" x14ac:dyDescent="0.3"/>
    <row r="643" s="15" customFormat="1" x14ac:dyDescent="0.3"/>
    <row r="644" s="15" customFormat="1" x14ac:dyDescent="0.3"/>
    <row r="645" s="15" customFormat="1" x14ac:dyDescent="0.3"/>
    <row r="646" s="15" customFormat="1" x14ac:dyDescent="0.3"/>
    <row r="647" s="15" customFormat="1" x14ac:dyDescent="0.3"/>
    <row r="648" s="15" customFormat="1" x14ac:dyDescent="0.3"/>
    <row r="649" s="15" customFormat="1" x14ac:dyDescent="0.3"/>
    <row r="650" s="15" customFormat="1" x14ac:dyDescent="0.3"/>
    <row r="651" s="15" customFormat="1" x14ac:dyDescent="0.3"/>
    <row r="652" s="15" customFormat="1" x14ac:dyDescent="0.3"/>
    <row r="653" s="15" customFormat="1" x14ac:dyDescent="0.3"/>
    <row r="654" s="15" customFormat="1" x14ac:dyDescent="0.3"/>
    <row r="655" s="15" customFormat="1" x14ac:dyDescent="0.3"/>
    <row r="656" s="15" customFormat="1" x14ac:dyDescent="0.3"/>
    <row r="657" s="15" customFormat="1" x14ac:dyDescent="0.3"/>
    <row r="658" s="15" customFormat="1" x14ac:dyDescent="0.3"/>
    <row r="659" s="15" customFormat="1" x14ac:dyDescent="0.3"/>
    <row r="660" s="15" customFormat="1" x14ac:dyDescent="0.3"/>
    <row r="661" s="15" customFormat="1" x14ac:dyDescent="0.3"/>
    <row r="662" s="15" customFormat="1" x14ac:dyDescent="0.3"/>
    <row r="663" s="15" customFormat="1" x14ac:dyDescent="0.3"/>
    <row r="664" s="15" customFormat="1" x14ac:dyDescent="0.3"/>
    <row r="665" s="15" customFormat="1" x14ac:dyDescent="0.3"/>
    <row r="666" s="15" customFormat="1" x14ac:dyDescent="0.3"/>
    <row r="667" s="15" customFormat="1" x14ac:dyDescent="0.3"/>
    <row r="668" s="15" customFormat="1" x14ac:dyDescent="0.3"/>
    <row r="669" s="15" customFormat="1" x14ac:dyDescent="0.3"/>
    <row r="670" s="15" customFormat="1" x14ac:dyDescent="0.3"/>
    <row r="671" s="15" customFormat="1" x14ac:dyDescent="0.3"/>
    <row r="672" s="15" customFormat="1" x14ac:dyDescent="0.3"/>
    <row r="673" s="15" customFormat="1" x14ac:dyDescent="0.3"/>
    <row r="674" s="15" customFormat="1" x14ac:dyDescent="0.3"/>
    <row r="675" s="15" customFormat="1" x14ac:dyDescent="0.3"/>
    <row r="676" s="15" customFormat="1" x14ac:dyDescent="0.3"/>
    <row r="677" s="15" customFormat="1" x14ac:dyDescent="0.3"/>
    <row r="678" s="15" customFormat="1" x14ac:dyDescent="0.3"/>
    <row r="679" s="15" customFormat="1" x14ac:dyDescent="0.3"/>
    <row r="680" s="15" customFormat="1" x14ac:dyDescent="0.3"/>
    <row r="681" s="15" customFormat="1" x14ac:dyDescent="0.3"/>
    <row r="682" s="15" customFormat="1" x14ac:dyDescent="0.3"/>
    <row r="683" s="15" customFormat="1" x14ac:dyDescent="0.3"/>
    <row r="684" s="15" customFormat="1" x14ac:dyDescent="0.3"/>
    <row r="685" s="15" customFormat="1" x14ac:dyDescent="0.3"/>
    <row r="686" s="15" customFormat="1" x14ac:dyDescent="0.3"/>
    <row r="687" s="15" customFormat="1" x14ac:dyDescent="0.3"/>
    <row r="688" s="15" customFormat="1" x14ac:dyDescent="0.3"/>
    <row r="689" s="15" customFormat="1" x14ac:dyDescent="0.3"/>
    <row r="690" s="15" customFormat="1" x14ac:dyDescent="0.3"/>
    <row r="691" s="15" customFormat="1" x14ac:dyDescent="0.3"/>
    <row r="692" s="15" customFormat="1" x14ac:dyDescent="0.3"/>
    <row r="693" s="15" customFormat="1" x14ac:dyDescent="0.3"/>
    <row r="694" s="15" customFormat="1" x14ac:dyDescent="0.3"/>
    <row r="695" s="15" customFormat="1" x14ac:dyDescent="0.3"/>
    <row r="696" s="15" customFormat="1" x14ac:dyDescent="0.3"/>
    <row r="697" s="15" customFormat="1" x14ac:dyDescent="0.3"/>
    <row r="698" s="15" customFormat="1" x14ac:dyDescent="0.3"/>
    <row r="699" s="15" customFormat="1" x14ac:dyDescent="0.3"/>
    <row r="700" s="15" customFormat="1" x14ac:dyDescent="0.3"/>
    <row r="701" s="15" customFormat="1" x14ac:dyDescent="0.3"/>
    <row r="702" s="15" customFormat="1" x14ac:dyDescent="0.3"/>
    <row r="703" s="15" customFormat="1" x14ac:dyDescent="0.3"/>
    <row r="704" s="15" customFormat="1" x14ac:dyDescent="0.3"/>
    <row r="705" s="15" customFormat="1" x14ac:dyDescent="0.3"/>
    <row r="706" s="15" customFormat="1" x14ac:dyDescent="0.3"/>
    <row r="707" s="15" customFormat="1" x14ac:dyDescent="0.3"/>
    <row r="708" s="15" customFormat="1" x14ac:dyDescent="0.3"/>
    <row r="709" s="15" customFormat="1" x14ac:dyDescent="0.3"/>
    <row r="710" s="15" customFormat="1" x14ac:dyDescent="0.3"/>
    <row r="711" s="15" customFormat="1" x14ac:dyDescent="0.3"/>
    <row r="712" s="15" customFormat="1" x14ac:dyDescent="0.3"/>
    <row r="713" s="15" customFormat="1" x14ac:dyDescent="0.3"/>
    <row r="714" s="15" customFormat="1" x14ac:dyDescent="0.3"/>
    <row r="715" s="15" customFormat="1" x14ac:dyDescent="0.3"/>
    <row r="716" s="15" customFormat="1" x14ac:dyDescent="0.3"/>
    <row r="717" s="15" customFormat="1" x14ac:dyDescent="0.3"/>
    <row r="718" s="15" customFormat="1" x14ac:dyDescent="0.3"/>
    <row r="719" s="15" customFormat="1" x14ac:dyDescent="0.3"/>
    <row r="720" s="15" customFormat="1" x14ac:dyDescent="0.3"/>
    <row r="721" s="15" customFormat="1" x14ac:dyDescent="0.3"/>
    <row r="722" s="15" customFormat="1" x14ac:dyDescent="0.3"/>
    <row r="723" s="15" customFormat="1" x14ac:dyDescent="0.3"/>
    <row r="724" s="15" customFormat="1" x14ac:dyDescent="0.3"/>
    <row r="725" s="15" customFormat="1" x14ac:dyDescent="0.3"/>
    <row r="726" s="15" customFormat="1" x14ac:dyDescent="0.3"/>
    <row r="727" s="15" customFormat="1" x14ac:dyDescent="0.3"/>
    <row r="728" s="15" customFormat="1" x14ac:dyDescent="0.3"/>
    <row r="729" s="15" customFormat="1" x14ac:dyDescent="0.3"/>
    <row r="730" s="15" customFormat="1" x14ac:dyDescent="0.3"/>
    <row r="731" s="15" customFormat="1" x14ac:dyDescent="0.3"/>
    <row r="732" s="15" customFormat="1" x14ac:dyDescent="0.3"/>
    <row r="733" s="15" customFormat="1" x14ac:dyDescent="0.3"/>
    <row r="734" s="15" customFormat="1" x14ac:dyDescent="0.3"/>
    <row r="735" s="15" customFormat="1" x14ac:dyDescent="0.3"/>
    <row r="736" s="15" customFormat="1" x14ac:dyDescent="0.3"/>
    <row r="737" s="15" customFormat="1" x14ac:dyDescent="0.3"/>
    <row r="738" s="15" customFormat="1" x14ac:dyDescent="0.3"/>
    <row r="739" s="15" customFormat="1" x14ac:dyDescent="0.3"/>
    <row r="740" s="15" customFormat="1" x14ac:dyDescent="0.3"/>
    <row r="741" s="15" customFormat="1" x14ac:dyDescent="0.3"/>
    <row r="742" s="15" customFormat="1" x14ac:dyDescent="0.3"/>
    <row r="743" s="15" customFormat="1" x14ac:dyDescent="0.3"/>
    <row r="744" s="15" customFormat="1" x14ac:dyDescent="0.3"/>
    <row r="745" s="15" customFormat="1" x14ac:dyDescent="0.3"/>
    <row r="746" s="15" customFormat="1" x14ac:dyDescent="0.3"/>
    <row r="747" s="15" customFormat="1" x14ac:dyDescent="0.3"/>
    <row r="748" s="15" customFormat="1" x14ac:dyDescent="0.3"/>
    <row r="749" s="15" customFormat="1" x14ac:dyDescent="0.3"/>
    <row r="750" s="15" customFormat="1" x14ac:dyDescent="0.3"/>
    <row r="751" s="15" customFormat="1" x14ac:dyDescent="0.3"/>
    <row r="752" s="15" customFormat="1" x14ac:dyDescent="0.3"/>
    <row r="753" s="15" customFormat="1" x14ac:dyDescent="0.3"/>
    <row r="754" s="15" customFormat="1" x14ac:dyDescent="0.3"/>
    <row r="755" s="15" customFormat="1" x14ac:dyDescent="0.3"/>
    <row r="756" s="15" customFormat="1" x14ac:dyDescent="0.3"/>
    <row r="757" s="15" customFormat="1" x14ac:dyDescent="0.3"/>
    <row r="758" s="15" customFormat="1" x14ac:dyDescent="0.3"/>
    <row r="759" s="15" customFormat="1" x14ac:dyDescent="0.3"/>
    <row r="760" s="15" customFormat="1" x14ac:dyDescent="0.3"/>
    <row r="761" s="15" customFormat="1" x14ac:dyDescent="0.3"/>
    <row r="762" s="15" customFormat="1" x14ac:dyDescent="0.3"/>
    <row r="763" s="15" customFormat="1" x14ac:dyDescent="0.3"/>
    <row r="764" s="15" customFormat="1" x14ac:dyDescent="0.3"/>
    <row r="765" s="15" customFormat="1" x14ac:dyDescent="0.3"/>
    <row r="766" s="15" customFormat="1" x14ac:dyDescent="0.3"/>
    <row r="767" s="15" customFormat="1" x14ac:dyDescent="0.3"/>
    <row r="768" s="15" customFormat="1" x14ac:dyDescent="0.3"/>
    <row r="769" s="15" customFormat="1" x14ac:dyDescent="0.3"/>
    <row r="770" s="15" customFormat="1" x14ac:dyDescent="0.3"/>
    <row r="771" s="15" customFormat="1" x14ac:dyDescent="0.3"/>
    <row r="772" s="15" customFormat="1" x14ac:dyDescent="0.3"/>
    <row r="773" s="15" customFormat="1" x14ac:dyDescent="0.3"/>
    <row r="774" s="15" customFormat="1" x14ac:dyDescent="0.3"/>
    <row r="775" s="15" customFormat="1" x14ac:dyDescent="0.3"/>
    <row r="776" s="15" customFormat="1" x14ac:dyDescent="0.3"/>
    <row r="777" s="15" customFormat="1" x14ac:dyDescent="0.3"/>
    <row r="778" s="15" customFormat="1" x14ac:dyDescent="0.3"/>
    <row r="779" s="15" customFormat="1" x14ac:dyDescent="0.3"/>
    <row r="780" s="15" customFormat="1" x14ac:dyDescent="0.3"/>
    <row r="781" s="15" customFormat="1" x14ac:dyDescent="0.3"/>
    <row r="782" s="15" customFormat="1" x14ac:dyDescent="0.3"/>
    <row r="783" s="15" customFormat="1" x14ac:dyDescent="0.3"/>
    <row r="784" s="15" customFormat="1" x14ac:dyDescent="0.3"/>
    <row r="785" s="15" customFormat="1" x14ac:dyDescent="0.3"/>
    <row r="786" s="15" customFormat="1" x14ac:dyDescent="0.3"/>
    <row r="787" s="15" customFormat="1" x14ac:dyDescent="0.3"/>
    <row r="788" s="15" customFormat="1" x14ac:dyDescent="0.3"/>
    <row r="789" s="15" customFormat="1" x14ac:dyDescent="0.3"/>
    <row r="790" s="15" customFormat="1" x14ac:dyDescent="0.3"/>
    <row r="791" s="15" customFormat="1" x14ac:dyDescent="0.3"/>
    <row r="792" s="15" customFormat="1" x14ac:dyDescent="0.3"/>
    <row r="793" s="15" customFormat="1" x14ac:dyDescent="0.3"/>
    <row r="794" s="15" customFormat="1" x14ac:dyDescent="0.3"/>
    <row r="795" s="15" customFormat="1" x14ac:dyDescent="0.3"/>
    <row r="796" s="15" customFormat="1" x14ac:dyDescent="0.3"/>
    <row r="797" s="15" customFormat="1" x14ac:dyDescent="0.3"/>
    <row r="798" s="15" customFormat="1" x14ac:dyDescent="0.3"/>
    <row r="799" s="15" customFormat="1" x14ac:dyDescent="0.3"/>
    <row r="800" s="15" customFormat="1" x14ac:dyDescent="0.3"/>
    <row r="801" s="15" customFormat="1" x14ac:dyDescent="0.3"/>
    <row r="802" s="15" customFormat="1" x14ac:dyDescent="0.3"/>
    <row r="803" s="15" customFormat="1" x14ac:dyDescent="0.3"/>
    <row r="804" s="15" customFormat="1" x14ac:dyDescent="0.3"/>
    <row r="805" s="15" customFormat="1" x14ac:dyDescent="0.3"/>
    <row r="806" s="15" customFormat="1" x14ac:dyDescent="0.3"/>
    <row r="807" s="15" customFormat="1" x14ac:dyDescent="0.3"/>
    <row r="808" s="15" customFormat="1" x14ac:dyDescent="0.3"/>
    <row r="809" s="15" customFormat="1" x14ac:dyDescent="0.3"/>
    <row r="810" s="15" customFormat="1" x14ac:dyDescent="0.3"/>
    <row r="811" s="15" customFormat="1" x14ac:dyDescent="0.3"/>
    <row r="812" s="15" customFormat="1" x14ac:dyDescent="0.3"/>
    <row r="813" s="15" customFormat="1" x14ac:dyDescent="0.3"/>
    <row r="814" s="15" customFormat="1" x14ac:dyDescent="0.3"/>
    <row r="815" s="15" customFormat="1" x14ac:dyDescent="0.3"/>
    <row r="816" s="15" customFormat="1" x14ac:dyDescent="0.3"/>
    <row r="817" s="15" customFormat="1" x14ac:dyDescent="0.3"/>
    <row r="818" s="15" customFormat="1" x14ac:dyDescent="0.3"/>
    <row r="819" s="15" customFormat="1" x14ac:dyDescent="0.3"/>
    <row r="820" s="15" customFormat="1" x14ac:dyDescent="0.3"/>
    <row r="821" s="15" customFormat="1" x14ac:dyDescent="0.3"/>
    <row r="822" s="15" customFormat="1" x14ac:dyDescent="0.3"/>
    <row r="823" s="15" customFormat="1" x14ac:dyDescent="0.3"/>
    <row r="824" s="15" customFormat="1" x14ac:dyDescent="0.3"/>
    <row r="825" s="15" customFormat="1" x14ac:dyDescent="0.3"/>
    <row r="826" s="15" customFormat="1" x14ac:dyDescent="0.3"/>
    <row r="827" s="15" customFormat="1" x14ac:dyDescent="0.3"/>
    <row r="828" s="15" customFormat="1" x14ac:dyDescent="0.3"/>
    <row r="829" s="15" customFormat="1" x14ac:dyDescent="0.3"/>
    <row r="830" s="15" customFormat="1" x14ac:dyDescent="0.3"/>
    <row r="831" s="15" customFormat="1" x14ac:dyDescent="0.3"/>
    <row r="832" s="15" customFormat="1" x14ac:dyDescent="0.3"/>
    <row r="833" s="15" customFormat="1" x14ac:dyDescent="0.3"/>
    <row r="834" s="15" customFormat="1" x14ac:dyDescent="0.3"/>
    <row r="835" s="15" customFormat="1" x14ac:dyDescent="0.3"/>
    <row r="836" s="15" customFormat="1" x14ac:dyDescent="0.3"/>
    <row r="837" s="15" customFormat="1" x14ac:dyDescent="0.3"/>
    <row r="838" s="15" customFormat="1" x14ac:dyDescent="0.3"/>
    <row r="839" s="15" customFormat="1" x14ac:dyDescent="0.3"/>
    <row r="840" s="15" customFormat="1" x14ac:dyDescent="0.3"/>
    <row r="841" s="15" customFormat="1" x14ac:dyDescent="0.3"/>
    <row r="842" s="15" customFormat="1" x14ac:dyDescent="0.3"/>
    <row r="843" s="15" customFormat="1" x14ac:dyDescent="0.3"/>
    <row r="844" s="15" customFormat="1" x14ac:dyDescent="0.3"/>
    <row r="845" s="15" customFormat="1" x14ac:dyDescent="0.3"/>
    <row r="846" s="15" customFormat="1" x14ac:dyDescent="0.3"/>
    <row r="847" s="15" customFormat="1" x14ac:dyDescent="0.3"/>
    <row r="848" s="15" customFormat="1" x14ac:dyDescent="0.3"/>
    <row r="849" s="15" customFormat="1" x14ac:dyDescent="0.3"/>
    <row r="850" s="15" customFormat="1" x14ac:dyDescent="0.3"/>
    <row r="851" s="15" customFormat="1" x14ac:dyDescent="0.3"/>
    <row r="852" s="15" customFormat="1" x14ac:dyDescent="0.3"/>
    <row r="853" s="15" customFormat="1" x14ac:dyDescent="0.3"/>
    <row r="854" s="15" customFormat="1" x14ac:dyDescent="0.3"/>
    <row r="855" s="15" customFormat="1" x14ac:dyDescent="0.3"/>
    <row r="856" s="15" customFormat="1" x14ac:dyDescent="0.3"/>
    <row r="857" s="15" customFormat="1" x14ac:dyDescent="0.3"/>
    <row r="858" s="15" customFormat="1" x14ac:dyDescent="0.3"/>
    <row r="859" s="15" customFormat="1" x14ac:dyDescent="0.3"/>
    <row r="860" s="15" customFormat="1" x14ac:dyDescent="0.3"/>
    <row r="861" s="15" customFormat="1" x14ac:dyDescent="0.3"/>
    <row r="862" s="15" customFormat="1" x14ac:dyDescent="0.3"/>
    <row r="863" s="15" customFormat="1" x14ac:dyDescent="0.3"/>
    <row r="864" s="15" customFormat="1" x14ac:dyDescent="0.3"/>
    <row r="865" s="15" customFormat="1" x14ac:dyDescent="0.3"/>
    <row r="866" s="15" customFormat="1" x14ac:dyDescent="0.3"/>
    <row r="867" s="15" customFormat="1" x14ac:dyDescent="0.3"/>
    <row r="868" s="15" customFormat="1" x14ac:dyDescent="0.3"/>
    <row r="869" s="15" customFormat="1" x14ac:dyDescent="0.3"/>
    <row r="870" s="15" customFormat="1" x14ac:dyDescent="0.3"/>
    <row r="871" s="15" customFormat="1" x14ac:dyDescent="0.3"/>
    <row r="872" s="15" customFormat="1" x14ac:dyDescent="0.3"/>
    <row r="873" s="15" customFormat="1" x14ac:dyDescent="0.3"/>
    <row r="874" s="15" customFormat="1" x14ac:dyDescent="0.3"/>
    <row r="875" s="15" customFormat="1" x14ac:dyDescent="0.3"/>
    <row r="876" s="15" customFormat="1" x14ac:dyDescent="0.3"/>
    <row r="877" s="15" customFormat="1" x14ac:dyDescent="0.3"/>
    <row r="878" s="15" customFormat="1" x14ac:dyDescent="0.3"/>
    <row r="879" s="15" customFormat="1" x14ac:dyDescent="0.3"/>
    <row r="880" s="15" customFormat="1" x14ac:dyDescent="0.3"/>
    <row r="881" s="15" customFormat="1" x14ac:dyDescent="0.3"/>
    <row r="882" s="15" customFormat="1" x14ac:dyDescent="0.3"/>
    <row r="883" s="15" customFormat="1" x14ac:dyDescent="0.3"/>
    <row r="884" s="15" customFormat="1" x14ac:dyDescent="0.3"/>
    <row r="885" s="15" customFormat="1" x14ac:dyDescent="0.3"/>
    <row r="886" s="15" customFormat="1" x14ac:dyDescent="0.3"/>
    <row r="887" s="15" customFormat="1" x14ac:dyDescent="0.3"/>
    <row r="888" s="15" customFormat="1" x14ac:dyDescent="0.3"/>
    <row r="889" s="15" customFormat="1" x14ac:dyDescent="0.3"/>
    <row r="890" s="15" customFormat="1" x14ac:dyDescent="0.3"/>
    <row r="891" s="15" customFormat="1" x14ac:dyDescent="0.3"/>
    <row r="892" s="15" customFormat="1" x14ac:dyDescent="0.3"/>
    <row r="893" s="15" customFormat="1" x14ac:dyDescent="0.3"/>
    <row r="894" s="15" customFormat="1" x14ac:dyDescent="0.3"/>
    <row r="895" s="15" customFormat="1" x14ac:dyDescent="0.3"/>
    <row r="896" s="15" customFormat="1" x14ac:dyDescent="0.3"/>
    <row r="897" s="15" customFormat="1" x14ac:dyDescent="0.3"/>
    <row r="898" s="15" customFormat="1" x14ac:dyDescent="0.3"/>
    <row r="899" s="15" customFormat="1" x14ac:dyDescent="0.3"/>
    <row r="900" s="15" customFormat="1" x14ac:dyDescent="0.3"/>
    <row r="901" s="15" customFormat="1" x14ac:dyDescent="0.3"/>
    <row r="902" s="15" customFormat="1" x14ac:dyDescent="0.3"/>
    <row r="903" s="15" customFormat="1" x14ac:dyDescent="0.3"/>
    <row r="904" s="15" customFormat="1" x14ac:dyDescent="0.3"/>
    <row r="905" s="15" customFormat="1" x14ac:dyDescent="0.3"/>
    <row r="906" s="15" customFormat="1" x14ac:dyDescent="0.3"/>
    <row r="907" s="15" customFormat="1" x14ac:dyDescent="0.3"/>
    <row r="908" s="15" customFormat="1" x14ac:dyDescent="0.3"/>
    <row r="909" s="15" customFormat="1" x14ac:dyDescent="0.3"/>
    <row r="910" s="15" customFormat="1" x14ac:dyDescent="0.3"/>
    <row r="911" s="15" customFormat="1" x14ac:dyDescent="0.3"/>
    <row r="912" s="15" customFormat="1" x14ac:dyDescent="0.3"/>
    <row r="913" s="15" customFormat="1" x14ac:dyDescent="0.3"/>
    <row r="914" s="15" customFormat="1" x14ac:dyDescent="0.3"/>
    <row r="915" s="15" customFormat="1" x14ac:dyDescent="0.3"/>
    <row r="916" s="15" customFormat="1" x14ac:dyDescent="0.3"/>
    <row r="917" s="15" customFormat="1" x14ac:dyDescent="0.3"/>
    <row r="918" s="15" customFormat="1" x14ac:dyDescent="0.3"/>
    <row r="919" s="15" customFormat="1" x14ac:dyDescent="0.3"/>
    <row r="920" s="15" customFormat="1" x14ac:dyDescent="0.3"/>
    <row r="921" s="15" customFormat="1" x14ac:dyDescent="0.3"/>
    <row r="922" s="15" customFormat="1" x14ac:dyDescent="0.3"/>
    <row r="923" s="15" customFormat="1" x14ac:dyDescent="0.3"/>
    <row r="924" s="15" customFormat="1" x14ac:dyDescent="0.3"/>
    <row r="925" s="15" customFormat="1" x14ac:dyDescent="0.3"/>
    <row r="926" s="15" customFormat="1" x14ac:dyDescent="0.3"/>
    <row r="927" s="15" customFormat="1" x14ac:dyDescent="0.3"/>
    <row r="928" s="15" customFormat="1" x14ac:dyDescent="0.3"/>
    <row r="929" s="15" customFormat="1" x14ac:dyDescent="0.3"/>
    <row r="930" s="15" customFormat="1" x14ac:dyDescent="0.3"/>
    <row r="931" s="15" customFormat="1" x14ac:dyDescent="0.3"/>
    <row r="932" s="15" customFormat="1" x14ac:dyDescent="0.3"/>
    <row r="933" s="15" customFormat="1" x14ac:dyDescent="0.3"/>
    <row r="934" s="15" customFormat="1" x14ac:dyDescent="0.3"/>
    <row r="935" s="15" customFormat="1" x14ac:dyDescent="0.3"/>
    <row r="936" s="15" customFormat="1" x14ac:dyDescent="0.3"/>
    <row r="937" s="15" customFormat="1" x14ac:dyDescent="0.3"/>
    <row r="938" s="15" customFormat="1" x14ac:dyDescent="0.3"/>
    <row r="939" s="15" customFormat="1" x14ac:dyDescent="0.3"/>
    <row r="940" s="15" customFormat="1" x14ac:dyDescent="0.3"/>
    <row r="941" s="15" customFormat="1" x14ac:dyDescent="0.3"/>
    <row r="942" s="15" customFormat="1" x14ac:dyDescent="0.3"/>
    <row r="943" s="15" customFormat="1" x14ac:dyDescent="0.3"/>
    <row r="944" s="15" customFormat="1" x14ac:dyDescent="0.3"/>
    <row r="945" s="15" customFormat="1" x14ac:dyDescent="0.3"/>
    <row r="946" s="15" customFormat="1" x14ac:dyDescent="0.3"/>
    <row r="947" s="15" customFormat="1" x14ac:dyDescent="0.3"/>
    <row r="948" s="15" customFormat="1" x14ac:dyDescent="0.3"/>
    <row r="949" s="15" customFormat="1" x14ac:dyDescent="0.3"/>
    <row r="950" s="15" customFormat="1" x14ac:dyDescent="0.3"/>
    <row r="951" s="15" customFormat="1" x14ac:dyDescent="0.3"/>
    <row r="952" s="15" customFormat="1" x14ac:dyDescent="0.3"/>
    <row r="953" s="15" customFormat="1" x14ac:dyDescent="0.3"/>
    <row r="954" s="15" customFormat="1" x14ac:dyDescent="0.3"/>
    <row r="955" s="15" customFormat="1" x14ac:dyDescent="0.3"/>
    <row r="956" s="15" customFormat="1" x14ac:dyDescent="0.3"/>
    <row r="957" s="15" customFormat="1" x14ac:dyDescent="0.3"/>
    <row r="958" s="15" customFormat="1" x14ac:dyDescent="0.3"/>
    <row r="959" s="15" customFormat="1" x14ac:dyDescent="0.3"/>
    <row r="960" s="15" customFormat="1" x14ac:dyDescent="0.3"/>
    <row r="961" s="15" customFormat="1" x14ac:dyDescent="0.3"/>
    <row r="962" s="15" customFormat="1" x14ac:dyDescent="0.3"/>
    <row r="963" s="15" customFormat="1" x14ac:dyDescent="0.3"/>
    <row r="964" s="15" customFormat="1" x14ac:dyDescent="0.3"/>
    <row r="965" s="15" customFormat="1" x14ac:dyDescent="0.3"/>
    <row r="966" s="15" customFormat="1" x14ac:dyDescent="0.3"/>
    <row r="967" s="15" customFormat="1" x14ac:dyDescent="0.3"/>
    <row r="968" s="15" customFormat="1" x14ac:dyDescent="0.3"/>
    <row r="969" s="15" customFormat="1" x14ac:dyDescent="0.3"/>
    <row r="970" s="15" customFormat="1" x14ac:dyDescent="0.3"/>
    <row r="971" s="15" customFormat="1" x14ac:dyDescent="0.3"/>
    <row r="972" s="15" customFormat="1" x14ac:dyDescent="0.3"/>
    <row r="973" s="15" customFormat="1" x14ac:dyDescent="0.3"/>
    <row r="974" s="15" customFormat="1" x14ac:dyDescent="0.3"/>
    <row r="975" s="15" customFormat="1" x14ac:dyDescent="0.3"/>
    <row r="976" s="15" customFormat="1" x14ac:dyDescent="0.3"/>
    <row r="977" s="15" customFormat="1" x14ac:dyDescent="0.3"/>
    <row r="978" s="15" customFormat="1" x14ac:dyDescent="0.3"/>
    <row r="979" s="15" customFormat="1" x14ac:dyDescent="0.3"/>
    <row r="980" s="15" customFormat="1" x14ac:dyDescent="0.3"/>
    <row r="981" s="15" customFormat="1" x14ac:dyDescent="0.3"/>
    <row r="982" s="15" customFormat="1" x14ac:dyDescent="0.3"/>
    <row r="983" s="15" customFormat="1" x14ac:dyDescent="0.3"/>
    <row r="984" s="15" customFormat="1" x14ac:dyDescent="0.3"/>
    <row r="985" s="15" customFormat="1" x14ac:dyDescent="0.3"/>
    <row r="986" s="15" customFormat="1" x14ac:dyDescent="0.3"/>
    <row r="987" s="15" customFormat="1" x14ac:dyDescent="0.3"/>
    <row r="988" s="15" customFormat="1" x14ac:dyDescent="0.3"/>
    <row r="989" s="15" customFormat="1" x14ac:dyDescent="0.3"/>
    <row r="990" s="15" customFormat="1" x14ac:dyDescent="0.3"/>
    <row r="991" s="15" customFormat="1" x14ac:dyDescent="0.3"/>
    <row r="992" s="15" customFormat="1" x14ac:dyDescent="0.3"/>
    <row r="993" s="15" customFormat="1" x14ac:dyDescent="0.3"/>
    <row r="994" s="15" customFormat="1" x14ac:dyDescent="0.3"/>
    <row r="995" s="15" customFormat="1" x14ac:dyDescent="0.3"/>
    <row r="996" s="15" customFormat="1" x14ac:dyDescent="0.3"/>
    <row r="997" s="15" customFormat="1" x14ac:dyDescent="0.3"/>
    <row r="998" s="15" customFormat="1" x14ac:dyDescent="0.3"/>
    <row r="999" s="15" customFormat="1" x14ac:dyDescent="0.3"/>
    <row r="1000" s="15" customFormat="1" x14ac:dyDescent="0.3"/>
  </sheetData>
  <mergeCells count="1">
    <mergeCell ref="F11:I1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Arithmetic and statistical</vt:lpstr>
      <vt:lpstr>Counting </vt:lpstr>
      <vt:lpstr>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</dc:creator>
  <cp:lastModifiedBy>Sohila Khaled</cp:lastModifiedBy>
  <dcterms:created xsi:type="dcterms:W3CDTF">2015-06-05T18:17:20Z</dcterms:created>
  <dcterms:modified xsi:type="dcterms:W3CDTF">2026-09-28T22:51:37Z</dcterms:modified>
</cp:coreProperties>
</file>
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1081954E-8982-410E-8695-D0F19D959BF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rithmetic and statistical" sheetId="1" r:id="rId1"/>
    <sheet name="Counting " sheetId="2" r:id="rId2"/>
    <sheet name="Tex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1I9O0X8oKqKkAXoHoe4pmIXC8Ur1sLy/3+CQAEwKwkA="/>
    </ext>
  </extLst>
</workbook>
</file>

<file path=xl/calcChain.xml><?xml version="1.0" encoding="utf-8"?>
<calcChain xmlns="http://schemas.openxmlformats.org/spreadsheetml/2006/main">
  <c r="E37" i="1" l="1"/>
  <c r="E36" i="1"/>
  <c r="E35" i="1"/>
  <c r="E28" i="1"/>
  <c r="E27" i="1"/>
  <c r="E26" i="1"/>
  <c r="E25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<sst xmlns="http://schemas.openxmlformats.org/spreadsheetml/2006/main" count="81" uniqueCount="66">
  <si>
    <t xml:space="preserve">Mostafa </t>
  </si>
  <si>
    <t xml:space="preserve">            MAN      United              </t>
  </si>
  <si>
    <t>Counting</t>
  </si>
  <si>
    <t>Cai</t>
  </si>
  <si>
    <t xml:space="preserve">ro </t>
  </si>
  <si>
    <t xml:space="preserve">Concat </t>
  </si>
  <si>
    <t xml:space="preserve">Left </t>
  </si>
  <si>
    <t xml:space="preserve">Right </t>
  </si>
  <si>
    <t xml:space="preserve">Mid </t>
  </si>
  <si>
    <t xml:space="preserve">Len </t>
  </si>
  <si>
    <t>Arithmetic and statistical</t>
  </si>
  <si>
    <t xml:space="preserve">Trim </t>
  </si>
  <si>
    <t xml:space="preserve">substitue - Replace </t>
  </si>
  <si>
    <t>Mostafa</t>
  </si>
  <si>
    <t xml:space="preserve">count </t>
  </si>
  <si>
    <t>Instance</t>
  </si>
  <si>
    <t>رقم التكرار اللى هيستبدل فيه الحرف</t>
  </si>
  <si>
    <t xml:space="preserve">Find - Search </t>
  </si>
  <si>
    <t xml:space="preserve">Upper </t>
  </si>
  <si>
    <t xml:space="preserve">Lower </t>
  </si>
  <si>
    <t xml:space="preserve">Sum </t>
  </si>
  <si>
    <t>Proper</t>
  </si>
  <si>
    <t>a</t>
  </si>
  <si>
    <t>Sum_IF</t>
  </si>
  <si>
    <t>countA</t>
  </si>
  <si>
    <t>range</t>
  </si>
  <si>
    <t>النطاق اللي هيتم تطبيق الشرط عليه</t>
  </si>
  <si>
    <t>count_blank</t>
  </si>
  <si>
    <t xml:space="preserve">Apple </t>
  </si>
  <si>
    <t xml:space="preserve">count_if </t>
  </si>
  <si>
    <t>Sum_IFS</t>
  </si>
  <si>
    <t xml:space="preserve">min </t>
  </si>
  <si>
    <t>b</t>
  </si>
  <si>
    <t>count_ifs</t>
  </si>
  <si>
    <t>criteria</t>
  </si>
  <si>
    <t>الشرط نفسه</t>
  </si>
  <si>
    <t xml:space="preserve">max </t>
  </si>
  <si>
    <t>c</t>
  </si>
  <si>
    <t>avg (mean)</t>
  </si>
  <si>
    <t>Mean = الاسم الإحصائي</t>
  </si>
  <si>
    <t>sum_range</t>
  </si>
  <si>
    <t>القيم اللي عايز تجمعها</t>
  </si>
  <si>
    <t>Fatma</t>
  </si>
  <si>
    <t xml:space="preserve">product </t>
  </si>
  <si>
    <t>d</t>
  </si>
  <si>
    <t>quotient</t>
  </si>
  <si>
    <t>Quotient = ناتج القسمة</t>
  </si>
  <si>
    <t>mod</t>
  </si>
  <si>
    <t xml:space="preserve">Mod = الباقي من القسمه </t>
  </si>
  <si>
    <t xml:space="preserve">power </t>
  </si>
  <si>
    <t xml:space="preserve">var_s - التباين - التشتت </t>
  </si>
  <si>
    <t>بيقيس قد إيه القيم بعيدة عن المتوسط</t>
  </si>
  <si>
    <t>وحدته مربعة (وده بيخليه أقل وضوحًا)</t>
  </si>
  <si>
    <t>var_p -</t>
  </si>
  <si>
    <t xml:space="preserve">STDEV_s - اللانحراف المعياري  </t>
  </si>
  <si>
    <t>هو الجذر التربيعي للـ Variance</t>
  </si>
  <si>
    <t>STDEV_p</t>
  </si>
  <si>
    <t>طب هي الفكره هو انا عايز اعرف القيم بعيده عن المتوسط ليه؟</t>
  </si>
  <si>
    <t>ال STDEV عالى؟؟ --&gt;&gt; نقفل و نعيط و نعرف ان فى مشكلة</t>
  </si>
  <si>
    <t>علشان اكتشف الثبات و ال Outliers</t>
  </si>
  <si>
    <t xml:space="preserve">Range </t>
  </si>
  <si>
    <t>Max(Number) - Min(Number)</t>
  </si>
  <si>
    <t xml:space="preserve">Median </t>
  </si>
  <si>
    <t>Median هو القيمة اللي في نص البيانات بعد ترتيبها</t>
  </si>
  <si>
    <t>Mode</t>
  </si>
  <si>
    <t>Mode هو أكثر قيمة مكررة في البيانات.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</si>
</sst>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b/>
      <sz val="18"/>
      <color theme="1"/>
      <name val="Calibri"/>
      <family val="2"/>
    </font>
    <font>
      <b/>
      <sz val="20"/>
      <color theme="0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2"/>
      <color theme="0"/>
      <name val="Calibri"/>
      <family val="2"/>
    </font>
    <font>
      <sz val="10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BDD6EE"/>
        <bgColor rgb="FFBDD6EE"/>
      </patternFill>
    </fill>
    <fill>
      <patternFill patternType="solid">
        <fgColor rgb="FFE2EFD9"/>
        <bgColor rgb="FFE2EFD9"/>
      </patternFill>
    </fill>
    <fill>
      <patternFill patternType="solid">
        <fgColor rgb="FF002060"/>
        <bgColor rgb="FF002060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6" fillId="0" borderId="0" xfId="0" applyFont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2E891BE-C8B9-4319-B7BC-1AEA822DD0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24</xdr:row>
      <xdr:rowOff>9525</xdr:rowOff>
    </xdr:from>
    <xdr:ext cx="1638300" cy="1809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31613" y="3689513"/>
          <a:ext cx="1628775" cy="180975"/>
        </a:xfrm>
        <a:prstGeom prst="righ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180975</xdr:colOff>
      <xdr:row>25</xdr:row>
      <xdr:rowOff>38100</xdr:rowOff>
    </xdr:from>
    <xdr:ext cx="476250" cy="2190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12638" y="3675225"/>
          <a:ext cx="466725" cy="209550"/>
        </a:xfrm>
        <a:prstGeom prst="down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26</xdr:row>
      <xdr:rowOff>0</xdr:rowOff>
    </xdr:from>
    <xdr:ext cx="2695575" cy="1809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002975" y="3689513"/>
          <a:ext cx="2686050" cy="180975"/>
        </a:xfrm>
        <a:prstGeom prst="lef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152400</xdr:colOff>
      <xdr:row>30</xdr:row>
      <xdr:rowOff>9525</xdr:rowOff>
    </xdr:from>
    <xdr:ext cx="2009775" cy="161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4345875" y="3703800"/>
          <a:ext cx="2000250" cy="152400"/>
        </a:xfrm>
        <a:prstGeom prst="left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923925</xdr:colOff>
      <xdr:row>11</xdr:row>
      <xdr:rowOff>209550</xdr:rowOff>
    </xdr:from>
    <xdr:ext cx="3619500" cy="19812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workbookViewId="0">
      <selection activeCell="F38" sqref="F38"/>
    </sheetView>
  </sheetViews>
  <sheetFormatPr defaultColWidth="14.44140625" defaultRowHeight="14.4" x14ac:dyDescent="0.3"/>
  <cols>
    <col min="1" max="1" width="6.33203125" style="15" bestFit="1" customWidth="1"/>
    <col min="2" max="2" width="7.6640625" style="15" bestFit="1" customWidth="1"/>
    <col min="3" max="3" width="9.6640625" style="15" bestFit="1" customWidth="1"/>
    <col min="4" max="4" width="34.5546875" style="15" bestFit="1" customWidth="1"/>
    <col min="5" max="5" width="12" style="15" bestFit="1" customWidth="1"/>
    <col min="6" max="6" width="9.109375" style="15" customWidth="1"/>
    <col min="7" max="7" width="8.44140625" style="15" customWidth="1"/>
    <col min="8" max="8" width="18" style="15" customWidth="1"/>
    <col min="9" max="9" width="13.6640625" style="15" customWidth="1"/>
    <col min="10" max="11" width="8.6640625" style="15" customWidth="1"/>
    <col min="12" max="12" width="10.33203125" style="15" customWidth="1"/>
    <col min="13" max="13" width="12.44140625" style="15" customWidth="1"/>
    <col min="14" max="26" width="8.6640625" style="15" customWidth="1"/>
    <col min="27" max="16384" width="14.44140625" style="15"/>
  </cols>
  <sheetData>
    <row r="1" spans="1:15" x14ac:dyDescent="0.3">
      <c r="A1" s="4" t="s">
        <v>10</v>
      </c>
      <c r="B1" s="6"/>
      <c r="C1" s="6"/>
      <c r="D1" s="6"/>
      <c r="E1" s="7"/>
      <c r="F1" s="14"/>
    </row>
    <row r="2" spans="1:15" x14ac:dyDescent="0.3">
      <c r="A2" s="8"/>
      <c r="B2" s="9"/>
      <c r="C2" s="9"/>
      <c r="D2" s="9"/>
      <c r="E2" s="10"/>
      <c r="F2" s="14"/>
    </row>
    <row r="3" spans="1:15" ht="21" x14ac:dyDescent="0.3">
      <c r="A3" s="11">
        <v>1</v>
      </c>
      <c r="B3" s="11">
        <v>23</v>
      </c>
      <c r="C3" s="11" t="s">
        <v>13</v>
      </c>
      <c r="D3" s="12" t="s">
        <v>20</v>
      </c>
      <c r="E3" s="13">
        <f xml:space="preserve"> SUM(B3+A3)</f>
        <v>24</v>
      </c>
      <c r="F3" s="14"/>
    </row>
    <row r="4" spans="1:15" ht="21" x14ac:dyDescent="0.3">
      <c r="A4" s="11">
        <v>2</v>
      </c>
      <c r="B4" s="11">
        <v>24</v>
      </c>
      <c r="C4" s="11" t="s">
        <v>22</v>
      </c>
      <c r="D4" s="12" t="s">
        <v>23</v>
      </c>
      <c r="E4" s="13">
        <f>SUMIF(C3:C12,C3,B3:B12)</f>
        <v>48</v>
      </c>
      <c r="F4" s="14"/>
      <c r="L4" s="2" t="s">
        <v>25</v>
      </c>
      <c r="M4" s="16" t="s">
        <v>26</v>
      </c>
      <c r="N4" s="17"/>
      <c r="O4" s="18"/>
    </row>
    <row r="5" spans="1:15" ht="21" x14ac:dyDescent="0.3">
      <c r="A5" s="11">
        <v>3</v>
      </c>
      <c r="B5" s="11">
        <v>24</v>
      </c>
      <c r="C5" s="11" t="s">
        <v>28</v>
      </c>
      <c r="D5" s="12" t="s">
        <v>30</v>
      </c>
      <c r="E5" s="13">
        <f>SUMIFS(B3:B12,C3:C12,C3,D3:D12,D3)</f>
        <v>23</v>
      </c>
      <c r="M5" s="1"/>
      <c r="N5" s="1"/>
      <c r="O5" s="1"/>
    </row>
    <row r="6" spans="1:15" ht="21" x14ac:dyDescent="0.3">
      <c r="A6" s="11">
        <v>4</v>
      </c>
      <c r="B6" s="11">
        <v>25</v>
      </c>
      <c r="C6" s="11" t="s">
        <v>13</v>
      </c>
      <c r="D6" s="12" t="s">
        <v>31</v>
      </c>
      <c r="E6" s="13">
        <f>MIN(B3:B12)</f>
        <v>23</v>
      </c>
      <c r="L6" s="2" t="s">
        <v>34</v>
      </c>
      <c r="M6" s="16" t="s">
        <v>35</v>
      </c>
      <c r="N6" s="17"/>
      <c r="O6" s="18"/>
    </row>
    <row r="7" spans="1:15" ht="21" x14ac:dyDescent="0.3">
      <c r="A7" s="11">
        <v>5</v>
      </c>
      <c r="B7" s="11">
        <v>26</v>
      </c>
      <c r="C7" s="11" t="s">
        <v>32</v>
      </c>
      <c r="D7" s="12" t="s">
        <v>36</v>
      </c>
      <c r="E7" s="13">
        <f>MAX(B3:B12)</f>
        <v>31</v>
      </c>
      <c r="M7" s="1"/>
      <c r="N7" s="1"/>
      <c r="O7" s="1"/>
    </row>
    <row r="8" spans="1:15" ht="21" x14ac:dyDescent="0.3">
      <c r="A8" s="11">
        <v>6</v>
      </c>
      <c r="B8" s="11">
        <v>27</v>
      </c>
      <c r="C8" s="11" t="s">
        <v>37</v>
      </c>
      <c r="D8" s="12" t="s">
        <v>38</v>
      </c>
      <c r="E8" s="13">
        <f>AVERAGE(B3:B12)</f>
        <v>26.7</v>
      </c>
      <c r="H8" s="19" t="s">
        <v>39</v>
      </c>
      <c r="L8" s="2" t="s">
        <v>40</v>
      </c>
      <c r="M8" s="16" t="s">
        <v>41</v>
      </c>
      <c r="N8" s="17"/>
      <c r="O8" s="18"/>
    </row>
    <row r="9" spans="1:15" ht="21" x14ac:dyDescent="0.3">
      <c r="A9" s="11">
        <v>7</v>
      </c>
      <c r="B9" s="11">
        <v>28</v>
      </c>
      <c r="C9" s="11" t="s">
        <v>42</v>
      </c>
      <c r="D9" s="12" t="s">
        <v>43</v>
      </c>
      <c r="E9" s="13">
        <f>PRODUCT(B3,A3)</f>
        <v>23</v>
      </c>
    </row>
    <row r="10" spans="1:15" ht="21" x14ac:dyDescent="0.3">
      <c r="A10" s="11">
        <v>8</v>
      </c>
      <c r="B10" s="11">
        <v>29</v>
      </c>
      <c r="C10" s="11" t="s">
        <v>44</v>
      </c>
      <c r="D10" s="12" t="s">
        <v>45</v>
      </c>
      <c r="E10" s="13">
        <f>QUOTIENT(A8,A4)</f>
        <v>3</v>
      </c>
      <c r="H10" s="13" t="s">
        <v>46</v>
      </c>
    </row>
    <row r="11" spans="1:15" ht="21" x14ac:dyDescent="0.3">
      <c r="A11" s="11">
        <v>9</v>
      </c>
      <c r="B11" s="11">
        <v>30</v>
      </c>
      <c r="C11" s="11" t="s">
        <v>28</v>
      </c>
      <c r="D11" s="12" t="s">
        <v>47</v>
      </c>
      <c r="E11" s="13">
        <f>MOD(A8,A4)</f>
        <v>0</v>
      </c>
      <c r="H11" s="13" t="s">
        <v>48</v>
      </c>
    </row>
    <row r="12" spans="1:15" ht="21" x14ac:dyDescent="0.3">
      <c r="A12" s="11">
        <v>10</v>
      </c>
      <c r="B12" s="11">
        <v>31</v>
      </c>
      <c r="C12" s="11" t="s">
        <v>32</v>
      </c>
      <c r="D12" s="12" t="s">
        <v>49</v>
      </c>
      <c r="E12" s="13">
        <f>POWER(A12,A4)</f>
        <v>100</v>
      </c>
    </row>
    <row r="25" spans="1:14" ht="21" x14ac:dyDescent="0.3">
      <c r="A25" s="11">
        <v>3000</v>
      </c>
      <c r="B25" s="11">
        <v>1500</v>
      </c>
      <c r="C25" s="11" t="s">
        <v>13</v>
      </c>
      <c r="D25" s="12" t="s">
        <v>50</v>
      </c>
      <c r="E25" s="13">
        <f>_xlfn.VAR.S(B25:B28)</f>
        <v>36000000</v>
      </c>
      <c r="G25" s="5" t="s">
        <v>51</v>
      </c>
      <c r="H25" s="20"/>
      <c r="K25" s="5" t="s">
        <v>52</v>
      </c>
      <c r="L25" s="20"/>
      <c r="M25" s="20"/>
    </row>
    <row r="26" spans="1:14" ht="21" x14ac:dyDescent="0.3">
      <c r="A26" s="11">
        <v>4000</v>
      </c>
      <c r="B26" s="11">
        <v>1500</v>
      </c>
      <c r="C26" s="11" t="s">
        <v>44</v>
      </c>
      <c r="D26" s="12" t="s">
        <v>53</v>
      </c>
      <c r="E26" s="13">
        <f>_xlfn.VAR.P(B25:B28)</f>
        <v>27000000</v>
      </c>
    </row>
    <row r="27" spans="1:14" ht="21" x14ac:dyDescent="0.3">
      <c r="A27" s="11">
        <v>5000</v>
      </c>
      <c r="B27" s="11">
        <v>1500</v>
      </c>
      <c r="C27" s="11" t="s">
        <v>28</v>
      </c>
      <c r="D27" s="12" t="s">
        <v>54</v>
      </c>
      <c r="E27" s="13">
        <f>_xlfn.STDEV.S(B25:B28)</f>
        <v>6000</v>
      </c>
      <c r="G27" s="5" t="s">
        <v>55</v>
      </c>
      <c r="H27" s="20"/>
    </row>
    <row r="28" spans="1:14" ht="21" x14ac:dyDescent="0.3">
      <c r="A28" s="11">
        <v>6000</v>
      </c>
      <c r="B28" s="11">
        <v>13500</v>
      </c>
      <c r="C28" s="11" t="s">
        <v>42</v>
      </c>
      <c r="D28" s="12" t="s">
        <v>56</v>
      </c>
      <c r="E28" s="13">
        <f>_xlfn.STDEV.P(B25:B28)</f>
        <v>5196.152422706632</v>
      </c>
    </row>
    <row r="30" spans="1:14" ht="15.6" x14ac:dyDescent="0.3">
      <c r="J30" s="3" t="s">
        <v>57</v>
      </c>
      <c r="K30" s="17"/>
      <c r="L30" s="17"/>
      <c r="M30" s="17"/>
      <c r="N30" s="18"/>
    </row>
    <row r="31" spans="1:14" x14ac:dyDescent="0.3">
      <c r="B31" s="21"/>
      <c r="C31" s="22" t="s">
        <v>58</v>
      </c>
      <c r="D31" s="18"/>
      <c r="H31" s="22" t="s">
        <v>59</v>
      </c>
      <c r="I31" s="18"/>
    </row>
    <row r="35" spans="1:9" ht="21" x14ac:dyDescent="0.3">
      <c r="A35" s="11">
        <v>15</v>
      </c>
      <c r="B35" s="11">
        <v>36</v>
      </c>
      <c r="C35" s="11" t="s">
        <v>28</v>
      </c>
      <c r="D35" s="12" t="s">
        <v>60</v>
      </c>
      <c r="E35" s="13">
        <f>MAX(B35:B37) - MIN(A35:A37)</f>
        <v>23</v>
      </c>
      <c r="G35" s="23" t="s">
        <v>61</v>
      </c>
      <c r="H35" s="24"/>
      <c r="I35" s="25"/>
    </row>
    <row r="36" spans="1:9" ht="21" x14ac:dyDescent="0.3">
      <c r="A36" s="11">
        <v>16</v>
      </c>
      <c r="B36" s="11">
        <v>36</v>
      </c>
      <c r="C36" s="11" t="s">
        <v>42</v>
      </c>
      <c r="D36" s="12" t="s">
        <v>62</v>
      </c>
      <c r="E36" s="13">
        <f>MEDIAN(B35:B37)</f>
        <v>36</v>
      </c>
      <c r="G36" s="23" t="s">
        <v>63</v>
      </c>
      <c r="H36" s="24"/>
      <c r="I36" s="25"/>
    </row>
    <row r="37" spans="1:9" ht="21" x14ac:dyDescent="0.3">
      <c r="A37" s="11">
        <v>17</v>
      </c>
      <c r="B37" s="11">
        <v>38</v>
      </c>
      <c r="C37" s="11" t="s">
        <v>28</v>
      </c>
      <c r="D37" s="12" t="s">
        <v>64</v>
      </c>
      <c r="E37" s="13">
        <f>MODE(B35:B37)</f>
        <v>36</v>
      </c>
      <c r="G37" s="23" t="s">
        <v>65</v>
      </c>
      <c r="H37" s="24"/>
      <c r="I37" s="25"/>
    </row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3">
    <mergeCell ref="G37:I37"/>
    <mergeCell ref="A1:E2"/>
    <mergeCell ref="M4:O4"/>
    <mergeCell ref="M6:O6"/>
    <mergeCell ref="M8:O8"/>
    <mergeCell ref="G25:H25"/>
    <mergeCell ref="K25:M25"/>
    <mergeCell ref="G27:H27"/>
    <mergeCell ref="J30:N30"/>
    <mergeCell ref="C31:D31"/>
    <mergeCell ref="H31:I31"/>
    <mergeCell ref="G35:I35"/>
    <mergeCell ref="G36:I36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tabSelected="1" workbookViewId="0">
      <selection activeCell="E5" sqref="E5"/>
    </sheetView>
  </sheetViews>
  <sheetFormatPr defaultColWidth="14.44140625" defaultRowHeight="15" customHeight="1" x14ac:dyDescent="0.3"/>
  <cols>
    <col min="1" max="1" width="4.5546875" customWidth="1"/>
    <col min="2" max="2" width="7.109375" customWidth="1"/>
    <col min="3" max="3" width="9.6640625" bestFit="1" customWidth="1"/>
    <col min="4" max="4" width="16.21875" bestFit="1" customWidth="1"/>
    <col min="5" max="5" width="18" customWidth="1"/>
    <col min="6" max="26" width="8.6640625" customWidth="1"/>
  </cols>
  <sheetData>
    <row r="1" spans="1:5" ht="14.4" x14ac:dyDescent="0.3">
      <c r="A1" s="4" t="s">
        <v>2</v>
      </c>
      <c r="B1" s="6"/>
      <c r="C1" s="6"/>
      <c r="D1" s="6"/>
      <c r="E1" s="7"/>
    </row>
    <row r="2" spans="1:5" ht="14.4" x14ac:dyDescent="0.3">
      <c r="A2" s="8"/>
      <c r="B2" s="9"/>
      <c r="C2" s="9"/>
      <c r="D2" s="9"/>
      <c r="E2" s="10"/>
    </row>
    <row r="3" spans="1:5" ht="21" x14ac:dyDescent="0.3">
      <c r="A3" s="11">
        <v>1</v>
      </c>
      <c r="B3" s="11">
        <v>23</v>
      </c>
      <c r="C3" s="11" t="s">
        <v>13</v>
      </c>
      <c r="D3" s="12" t="s">
        <v>14</v>
      </c>
      <c r="E3" s="13"/>
    </row>
    <row r="4" spans="1:5" ht="21" x14ac:dyDescent="0.3">
      <c r="A4" s="11">
        <v>2</v>
      </c>
      <c r="B4" s="11">
        <v>24</v>
      </c>
      <c r="C4" s="11" t="s">
        <v>22</v>
      </c>
      <c r="D4" s="12" t="s">
        <v>24</v>
      </c>
      <c r="E4" s="13"/>
    </row>
    <row r="5" spans="1:5" ht="21" x14ac:dyDescent="0.3">
      <c r="A5" s="11">
        <v>3</v>
      </c>
      <c r="B5" s="11">
        <v>25</v>
      </c>
      <c r="C5" s="11" t="s">
        <v>13</v>
      </c>
      <c r="D5" s="12" t="s">
        <v>27</v>
      </c>
      <c r="E5" s="13"/>
    </row>
    <row r="6" spans="1:5" ht="21" x14ac:dyDescent="0.3">
      <c r="A6" s="11">
        <v>3</v>
      </c>
      <c r="B6" s="11">
        <v>25</v>
      </c>
      <c r="C6" s="11" t="s">
        <v>13</v>
      </c>
      <c r="D6" s="12" t="s">
        <v>29</v>
      </c>
      <c r="E6" s="13"/>
    </row>
    <row r="7" spans="1:5" ht="21" x14ac:dyDescent="0.3">
      <c r="A7" s="11">
        <v>4</v>
      </c>
      <c r="B7" s="11"/>
      <c r="C7" s="11" t="s">
        <v>32</v>
      </c>
      <c r="D7" s="12" t="s">
        <v>33</v>
      </c>
      <c r="E7" s="13"/>
    </row>
    <row r="8" spans="1:5" ht="14.25" customHeight="1" x14ac:dyDescent="0.3"/>
    <row r="9" spans="1:5" ht="14.25" customHeight="1" x14ac:dyDescent="0.3"/>
    <row r="10" spans="1:5" ht="14.25" customHeight="1" x14ac:dyDescent="0.3"/>
    <row r="11" spans="1:5" ht="14.25" customHeight="1" x14ac:dyDescent="0.3"/>
    <row r="12" spans="1:5" ht="14.25" customHeight="1" x14ac:dyDescent="0.3"/>
    <row r="13" spans="1:5" ht="14.25" customHeight="1" x14ac:dyDescent="0.3"/>
    <row r="14" spans="1:5" ht="14.25" customHeight="1" x14ac:dyDescent="0.3"/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1:E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workbookViewId="0">
      <selection activeCell="H4" sqref="H4"/>
    </sheetView>
  </sheetViews>
  <sheetFormatPr defaultColWidth="14.44140625" defaultRowHeight="14.4" x14ac:dyDescent="0.3"/>
  <cols>
    <col min="1" max="1" width="13.6640625" style="15" customWidth="1"/>
    <col min="2" max="2" width="43.44140625" style="15" customWidth="1"/>
    <col min="3" max="3" width="5.44140625" style="15" bestFit="1" customWidth="1"/>
    <col min="4" max="4" width="5" style="15" bestFit="1" customWidth="1"/>
    <col min="5" max="5" width="7.88671875" style="15" bestFit="1" customWidth="1"/>
    <col min="6" max="26" width="8.6640625" style="15" customWidth="1"/>
    <col min="27" max="16384" width="14.44140625" style="15"/>
  </cols>
  <sheetData>
    <row r="1" spans="1:9" ht="23.4" x14ac:dyDescent="0.3">
      <c r="A1" s="26" t="s">
        <v>0</v>
      </c>
      <c r="B1" s="26" t="s">
        <v>1</v>
      </c>
      <c r="C1" s="26" t="s">
        <v>3</v>
      </c>
      <c r="D1" s="26" t="s">
        <v>4</v>
      </c>
    </row>
    <row r="5" spans="1:9" ht="18" x14ac:dyDescent="0.3">
      <c r="B5" s="27" t="s">
        <v>5</v>
      </c>
      <c r="C5" s="28"/>
    </row>
    <row r="6" spans="1:9" ht="18" x14ac:dyDescent="0.3">
      <c r="B6" s="27" t="s">
        <v>6</v>
      </c>
      <c r="C6" s="28"/>
    </row>
    <row r="7" spans="1:9" ht="18" x14ac:dyDescent="0.3">
      <c r="B7" s="27" t="s">
        <v>7</v>
      </c>
      <c r="C7" s="28"/>
    </row>
    <row r="8" spans="1:9" ht="18" x14ac:dyDescent="0.3">
      <c r="B8" s="27" t="s">
        <v>8</v>
      </c>
      <c r="C8" s="28"/>
    </row>
    <row r="9" spans="1:9" ht="18" x14ac:dyDescent="0.3">
      <c r="B9" s="27" t="s">
        <v>9</v>
      </c>
      <c r="C9" s="28"/>
    </row>
    <row r="10" spans="1:9" ht="18" x14ac:dyDescent="0.3">
      <c r="B10" s="27" t="s">
        <v>11</v>
      </c>
      <c r="C10" s="28"/>
    </row>
    <row r="11" spans="1:9" ht="18" x14ac:dyDescent="0.3">
      <c r="B11" s="27" t="s">
        <v>12</v>
      </c>
      <c r="C11" s="28"/>
      <c r="E11" s="29" t="s">
        <v>15</v>
      </c>
      <c r="F11" s="5" t="s">
        <v>16</v>
      </c>
      <c r="G11" s="20"/>
      <c r="H11" s="20"/>
      <c r="I11" s="20"/>
    </row>
    <row r="12" spans="1:9" ht="18" x14ac:dyDescent="0.3">
      <c r="B12" s="27" t="s">
        <v>17</v>
      </c>
      <c r="C12" s="28"/>
    </row>
    <row r="13" spans="1:9" ht="18" x14ac:dyDescent="0.3">
      <c r="B13" s="27" t="s">
        <v>18</v>
      </c>
      <c r="C13" s="28"/>
    </row>
    <row r="14" spans="1:9" ht="18" x14ac:dyDescent="0.3">
      <c r="B14" s="27" t="s">
        <v>19</v>
      </c>
      <c r="C14" s="28"/>
    </row>
    <row r="15" spans="1:9" ht="18" x14ac:dyDescent="0.3">
      <c r="B15" s="27" t="s">
        <v>21</v>
      </c>
      <c r="C15" s="28"/>
    </row>
    <row r="17" s="15" customFormat="1" x14ac:dyDescent="0.3"/>
    <row r="18" s="15" customFormat="1" x14ac:dyDescent="0.3"/>
    <row r="19" s="15" customFormat="1" x14ac:dyDescent="0.3"/>
    <row r="20" s="15" customFormat="1" x14ac:dyDescent="0.3"/>
    <row r="21" s="15" customFormat="1" x14ac:dyDescent="0.3"/>
    <row r="22" s="15" customFormat="1" x14ac:dyDescent="0.3"/>
    <row r="23" s="15" customFormat="1" x14ac:dyDescent="0.3"/>
    <row r="24" s="15" customFormat="1" x14ac:dyDescent="0.3"/>
    <row r="25" s="15" customFormat="1" x14ac:dyDescent="0.3"/>
    <row r="26" s="15" customFormat="1" x14ac:dyDescent="0.3"/>
    <row r="27" s="15" customFormat="1" x14ac:dyDescent="0.3"/>
    <row r="28" s="15" customFormat="1" x14ac:dyDescent="0.3"/>
    <row r="29" s="15" customFormat="1" x14ac:dyDescent="0.3"/>
    <row r="30" s="15" customFormat="1" x14ac:dyDescent="0.3"/>
    <row r="31" s="15" customFormat="1" x14ac:dyDescent="0.3"/>
    <row r="32" s="15" customFormat="1" x14ac:dyDescent="0.3"/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">
    <mergeCell ref="F11:I1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Arithmetic and statistical</vt:lpstr>
      <vt:lpstr>Counting </vt:lpstr>
      <vt:lpstr>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</dc:creator>
  <cp:lastModifiedBy>Sohila Khaled</cp:lastModifiedBy>
  <dcterms:created xsi:type="dcterms:W3CDTF">2015-06-05T18:17:20Z</dcterms:created>
  <dcterms:modified xsi:type="dcterms:W3CDTF">2026-09-28T22:56:56Z</dcterms:modified>
</cp:coreProperties>
</file>
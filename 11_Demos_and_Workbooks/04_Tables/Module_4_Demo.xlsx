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ourses\Data Analysis 26-27\7-Introducation to Data Fields (Excel)\11_Demos_and_Workbooks\04_Tables\"/>
    </mc:Choice>
  </mc:AlternateContent>
  <xr:revisionPtr revIDLastSave="0" documentId="13_ncr:1_{9F7D4B77-BCFA-4FE3-B49C-F1985975718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Table_VS_Range " sheetId="5" r:id="rId1"/>
    <sheet name="Sales_Data" sheetId="1" r:id="rId2"/>
    <sheet name="Employee_Records" sheetId="2" r:id="rId3"/>
    <sheet name="Dept_Heads" sheetId="3" r:id="rId4"/>
    <sheet name="Product_Inventory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J7" i="5"/>
  <c r="J8" i="5"/>
  <c r="J9" i="5"/>
  <c r="J10" i="5"/>
  <c r="J11" i="5"/>
  <c r="J12" i="5"/>
  <c r="E8" i="5"/>
  <c r="E9" i="5"/>
  <c r="E10" i="5"/>
  <c r="E11" i="5"/>
  <c r="E12" i="5"/>
  <c r="E7" i="5"/>
  <c r="H13" i="5"/>
  <c r="I13" i="5"/>
  <c r="J13" i="5"/>
</calcChain>
</file>

<file path=xl/sharedStrings.xml><?xml version="1.0" encoding="utf-8"?>
<sst xmlns="http://schemas.openxmlformats.org/spreadsheetml/2006/main" count="902" uniqueCount="355">
  <si>
    <t>OrderID</t>
  </si>
  <si>
    <t>Date</t>
  </si>
  <si>
    <t>Product</t>
  </si>
  <si>
    <t>Category</t>
  </si>
  <si>
    <t>Quantity</t>
  </si>
  <si>
    <t>UnitPrice</t>
  </si>
  <si>
    <t>TotalPrice</t>
  </si>
  <si>
    <t>CustomerName</t>
  </si>
  <si>
    <t>Email</t>
  </si>
  <si>
    <t>Governorate</t>
  </si>
  <si>
    <t>EGY0001</t>
  </si>
  <si>
    <t>Monitor Samsung</t>
  </si>
  <si>
    <t>Electronics</t>
  </si>
  <si>
    <t>Nada Fouad</t>
  </si>
  <si>
    <t>nada.fouad@egypt.com</t>
  </si>
  <si>
    <t>Asyut</t>
  </si>
  <si>
    <t>EGY0002</t>
  </si>
  <si>
    <t>Headphones Sony</t>
  </si>
  <si>
    <t>Peripherals</t>
  </si>
  <si>
    <t>Yasmin Farouk</t>
  </si>
  <si>
    <t>yasmin.farouk@egypt.com</t>
  </si>
  <si>
    <t>Luxor</t>
  </si>
  <si>
    <t>EGY0003</t>
  </si>
  <si>
    <t>Laptop Dell</t>
  </si>
  <si>
    <t>Rana Sherif</t>
  </si>
  <si>
    <t>rana.sherif@egypt.com</t>
  </si>
  <si>
    <t>Beheira</t>
  </si>
  <si>
    <t>EGY0004</t>
  </si>
  <si>
    <t>Tablet Lenovo</t>
  </si>
  <si>
    <t>Amr Abdel Rahman</t>
  </si>
  <si>
    <t>amr.abdel.rahman@egypt.com</t>
  </si>
  <si>
    <t>Sohag</t>
  </si>
  <si>
    <t>EGY0005</t>
  </si>
  <si>
    <t>Karim Essam</t>
  </si>
  <si>
    <t>karim.essam@egypt.com</t>
  </si>
  <si>
    <t>Giza</t>
  </si>
  <si>
    <t>EGY0006</t>
  </si>
  <si>
    <t>SSD Kingston</t>
  </si>
  <si>
    <t>Omar Ali</t>
  </si>
  <si>
    <t>omar.ali@egypt.com</t>
  </si>
  <si>
    <t>Sharqia</t>
  </si>
  <si>
    <t>EGY0007</t>
  </si>
  <si>
    <t>Webcam HP</t>
  </si>
  <si>
    <t>Dina Mostafa</t>
  </si>
  <si>
    <t>dina.mostafa@egypt.com</t>
  </si>
  <si>
    <t>Dakahlia</t>
  </si>
  <si>
    <t>EGY0008</t>
  </si>
  <si>
    <t>Salma Adel</t>
  </si>
  <si>
    <t>salma.adel@egypt.com</t>
  </si>
  <si>
    <t>EGY0009</t>
  </si>
  <si>
    <t>Mouse Logitech</t>
  </si>
  <si>
    <t>Fatima Hassan</t>
  </si>
  <si>
    <t>fatima.hassan@egypt.com</t>
  </si>
  <si>
    <t>Red Sea</t>
  </si>
  <si>
    <t>EGY0010</t>
  </si>
  <si>
    <t>EGY0011</t>
  </si>
  <si>
    <t>Heba Magdy</t>
  </si>
  <si>
    <t>heba.magdy@egypt.com</t>
  </si>
  <si>
    <t>EGY0012</t>
  </si>
  <si>
    <t>Alexandria</t>
  </si>
  <si>
    <t>EGY0013</t>
  </si>
  <si>
    <t>Qena</t>
  </si>
  <si>
    <t>EGY0014</t>
  </si>
  <si>
    <t>Router TP-Link</t>
  </si>
  <si>
    <t>Mariam Youssef</t>
  </si>
  <si>
    <t>mariam.youssef@egypt.com</t>
  </si>
  <si>
    <t>Cairo</t>
  </si>
  <si>
    <t>EGY0015</t>
  </si>
  <si>
    <t>EGY0016</t>
  </si>
  <si>
    <t>Fayoum</t>
  </si>
  <si>
    <t>EGY0017</t>
  </si>
  <si>
    <t>Beni Suef</t>
  </si>
  <si>
    <t>EGY0018</t>
  </si>
  <si>
    <t>Ismailia</t>
  </si>
  <si>
    <t>EGY0019</t>
  </si>
  <si>
    <t>Minya</t>
  </si>
  <si>
    <t>EGY0020</t>
  </si>
  <si>
    <t>Nour El-Din</t>
  </si>
  <si>
    <t>nour.el-din@egypt.com</t>
  </si>
  <si>
    <t>EGY0021</t>
  </si>
  <si>
    <t>Printer Canon</t>
  </si>
  <si>
    <t>Suez</t>
  </si>
  <si>
    <t>EGY0022</t>
  </si>
  <si>
    <t>Charger Universal</t>
  </si>
  <si>
    <t>Youssef Tarek</t>
  </si>
  <si>
    <t>youssef.tarek@egypt.com</t>
  </si>
  <si>
    <t>EGY0023</t>
  </si>
  <si>
    <t>EGY0024</t>
  </si>
  <si>
    <t>Hossam Gamal</t>
  </si>
  <si>
    <t>hossam.gamal@egypt.com</t>
  </si>
  <si>
    <t>EGY0025</t>
  </si>
  <si>
    <t>Speaker JBL</t>
  </si>
  <si>
    <t>EGY0026</t>
  </si>
  <si>
    <t>Gharbia</t>
  </si>
  <si>
    <t>EGY0027</t>
  </si>
  <si>
    <t>Mohamed Mahmoud</t>
  </si>
  <si>
    <t>mohamed.mahmoud@egypt.com</t>
  </si>
  <si>
    <t>Kafr El Sheikh</t>
  </si>
  <si>
    <t>EGY0028</t>
  </si>
  <si>
    <t>Aisha Ibrahim</t>
  </si>
  <si>
    <t>aisha.ibrahim@egypt.com</t>
  </si>
  <si>
    <t>Monufia</t>
  </si>
  <si>
    <t>EGY0029</t>
  </si>
  <si>
    <t>EGY0030</t>
  </si>
  <si>
    <t>Khaled Samir</t>
  </si>
  <si>
    <t>khaled.samir@egypt.com</t>
  </si>
  <si>
    <t>EGY0031</t>
  </si>
  <si>
    <t>EGY0032</t>
  </si>
  <si>
    <t>EGY0033</t>
  </si>
  <si>
    <t>Tamer Nabil</t>
  </si>
  <si>
    <t>tamer.nabil@egypt.com</t>
  </si>
  <si>
    <t>EGY0034</t>
  </si>
  <si>
    <t>Keyboard Arabic</t>
  </si>
  <si>
    <t>EGY0035</t>
  </si>
  <si>
    <t>EGY0036</t>
  </si>
  <si>
    <t>EGY0037</t>
  </si>
  <si>
    <t>EGY0038</t>
  </si>
  <si>
    <t>EGY0039</t>
  </si>
  <si>
    <t>EGY0040</t>
  </si>
  <si>
    <t>EGY0041</t>
  </si>
  <si>
    <t>EGY0042</t>
  </si>
  <si>
    <t>Port Said</t>
  </si>
  <si>
    <t>EGY0043</t>
  </si>
  <si>
    <t>EGY0044</t>
  </si>
  <si>
    <t>EGY0045</t>
  </si>
  <si>
    <t>EGY0046</t>
  </si>
  <si>
    <t>EGY0047</t>
  </si>
  <si>
    <t>EGY0048</t>
  </si>
  <si>
    <t>EGY0049</t>
  </si>
  <si>
    <t>EGY0050</t>
  </si>
  <si>
    <t>EGY0051</t>
  </si>
  <si>
    <t>EGY0052</t>
  </si>
  <si>
    <t>EGY0053</t>
  </si>
  <si>
    <t>EGY0054</t>
  </si>
  <si>
    <t>EGY0055</t>
  </si>
  <si>
    <t>EGY0056</t>
  </si>
  <si>
    <t>Mahmoud Ashraf</t>
  </si>
  <si>
    <t>mahmoud.ashraf@egypt.com</t>
  </si>
  <si>
    <t>EGY0057</t>
  </si>
  <si>
    <t>EGY0058</t>
  </si>
  <si>
    <t>EGY0059</t>
  </si>
  <si>
    <t>Qalyubia</t>
  </si>
  <si>
    <t>EGY0060</t>
  </si>
  <si>
    <t>EGY0061</t>
  </si>
  <si>
    <t>EGY0062</t>
  </si>
  <si>
    <t>EGY0063</t>
  </si>
  <si>
    <t>Ahmed Mohamed</t>
  </si>
  <si>
    <t>ahmed.mohamed@egypt.com</t>
  </si>
  <si>
    <t>EGY0064</t>
  </si>
  <si>
    <t>EGY0065</t>
  </si>
  <si>
    <t>EGY0066</t>
  </si>
  <si>
    <t>EGY0067</t>
  </si>
  <si>
    <t>EGY0068</t>
  </si>
  <si>
    <t>EGY0069</t>
  </si>
  <si>
    <t>EGY0070</t>
  </si>
  <si>
    <t>EGY0071</t>
  </si>
  <si>
    <t>EGY0072</t>
  </si>
  <si>
    <t>EGY0073</t>
  </si>
  <si>
    <t>EGY0074</t>
  </si>
  <si>
    <t>EGY0075</t>
  </si>
  <si>
    <t>EGY0076</t>
  </si>
  <si>
    <t>EGY0077</t>
  </si>
  <si>
    <t>EGY0078</t>
  </si>
  <si>
    <t>EGY0079</t>
  </si>
  <si>
    <t>EGY0080</t>
  </si>
  <si>
    <t>EGY0081</t>
  </si>
  <si>
    <t>EGY0082</t>
  </si>
  <si>
    <t>EGY0083</t>
  </si>
  <si>
    <t>EGY0084</t>
  </si>
  <si>
    <t>EGY0085</t>
  </si>
  <si>
    <t>EGY0086</t>
  </si>
  <si>
    <t>EGY0087</t>
  </si>
  <si>
    <t>EGY0088</t>
  </si>
  <si>
    <t>EGY0089</t>
  </si>
  <si>
    <t>EGY0090</t>
  </si>
  <si>
    <t>EGY0091</t>
  </si>
  <si>
    <t>EGY0092</t>
  </si>
  <si>
    <t>EGY0093</t>
  </si>
  <si>
    <t>EGY0094</t>
  </si>
  <si>
    <t>EGY0095</t>
  </si>
  <si>
    <t>EGY0096</t>
  </si>
  <si>
    <t>EGY0097</t>
  </si>
  <si>
    <t>EGY0098</t>
  </si>
  <si>
    <t>EGY0099</t>
  </si>
  <si>
    <t>EGY0100</t>
  </si>
  <si>
    <t>EmployeeID</t>
  </si>
  <si>
    <t>FirstName</t>
  </si>
  <si>
    <t>LastName</t>
  </si>
  <si>
    <t>DateOfBirth</t>
  </si>
  <si>
    <t>HireDate</t>
  </si>
  <si>
    <t>Department</t>
  </si>
  <si>
    <t>Salary</t>
  </si>
  <si>
    <t>PerformanceRating</t>
  </si>
  <si>
    <t>Status</t>
  </si>
  <si>
    <t>EMP001</t>
  </si>
  <si>
    <t>Ahmed</t>
  </si>
  <si>
    <t>Magdy</t>
  </si>
  <si>
    <t>Marketing</t>
  </si>
  <si>
    <t>Terminated</t>
  </si>
  <si>
    <t>EMP002</t>
  </si>
  <si>
    <t>Mahmoud</t>
  </si>
  <si>
    <t>Fouad</t>
  </si>
  <si>
    <t>On Leave</t>
  </si>
  <si>
    <t>EMP003</t>
  </si>
  <si>
    <t>Mohamed</t>
  </si>
  <si>
    <t>Operations</t>
  </si>
  <si>
    <t>EMP004</t>
  </si>
  <si>
    <t>Youssef</t>
  </si>
  <si>
    <t>El-Sayed</t>
  </si>
  <si>
    <t>Active</t>
  </si>
  <si>
    <t>EMP005</t>
  </si>
  <si>
    <t>Mariam</t>
  </si>
  <si>
    <t>Samir</t>
  </si>
  <si>
    <t>IT</t>
  </si>
  <si>
    <t>EMP006</t>
  </si>
  <si>
    <t>Ibrahim</t>
  </si>
  <si>
    <t>HR</t>
  </si>
  <si>
    <t>EMP007</t>
  </si>
  <si>
    <t>Ali</t>
  </si>
  <si>
    <t>Adel</t>
  </si>
  <si>
    <t>EMP008</t>
  </si>
  <si>
    <t>Amr</t>
  </si>
  <si>
    <t>Finance</t>
  </si>
  <si>
    <t>EMP009</t>
  </si>
  <si>
    <t>Karim</t>
  </si>
  <si>
    <t>Nabil</t>
  </si>
  <si>
    <t>EMP010</t>
  </si>
  <si>
    <t>Nour</t>
  </si>
  <si>
    <t>EMP011</t>
  </si>
  <si>
    <t>Salma</t>
  </si>
  <si>
    <t>EMP012</t>
  </si>
  <si>
    <t>Nada</t>
  </si>
  <si>
    <t>Mostafa</t>
  </si>
  <si>
    <t>EMP013</t>
  </si>
  <si>
    <t>Dina</t>
  </si>
  <si>
    <t>EMP014</t>
  </si>
  <si>
    <t>Yasmin</t>
  </si>
  <si>
    <t>Sherif</t>
  </si>
  <si>
    <t>EMP015</t>
  </si>
  <si>
    <t>Sales</t>
  </si>
  <si>
    <t>EMP016</t>
  </si>
  <si>
    <t>EMP017</t>
  </si>
  <si>
    <t>EMP018</t>
  </si>
  <si>
    <t>EMP019</t>
  </si>
  <si>
    <t>Abdel Rahman</t>
  </si>
  <si>
    <t>EMP020</t>
  </si>
  <si>
    <t>Omar</t>
  </si>
  <si>
    <t>Gamal</t>
  </si>
  <si>
    <t>EMP021</t>
  </si>
  <si>
    <t>EMP022</t>
  </si>
  <si>
    <t>Aisha</t>
  </si>
  <si>
    <t>EMP023</t>
  </si>
  <si>
    <t>EMP024</t>
  </si>
  <si>
    <t>EMP025</t>
  </si>
  <si>
    <t>EMP026</t>
  </si>
  <si>
    <t>Essam</t>
  </si>
  <si>
    <t>EMP027</t>
  </si>
  <si>
    <t>Heba</t>
  </si>
  <si>
    <t>EMP028</t>
  </si>
  <si>
    <t>Rana</t>
  </si>
  <si>
    <t>EMP029</t>
  </si>
  <si>
    <t>EMP030</t>
  </si>
  <si>
    <t>Ahmed El-Masry</t>
  </si>
  <si>
    <t>Fatima Nour</t>
  </si>
  <si>
    <t>Omar Farouk</t>
  </si>
  <si>
    <t>Yasmin Hassan</t>
  </si>
  <si>
    <t>Mohamed Samir</t>
  </si>
  <si>
    <t>Aisha Mahmoud</t>
  </si>
  <si>
    <t>ProductID</t>
  </si>
  <si>
    <t>ProductName</t>
  </si>
  <si>
    <t>CurrentStock</t>
  </si>
  <si>
    <t>ReorderLevel</t>
  </si>
  <si>
    <t>CostPerUnit</t>
  </si>
  <si>
    <t>SellingPrice</t>
  </si>
  <si>
    <t>EGY001</t>
  </si>
  <si>
    <t>Headphones Beats</t>
  </si>
  <si>
    <t>EGY002</t>
  </si>
  <si>
    <t>Power Bank Anker</t>
  </si>
  <si>
    <t>EGY003</t>
  </si>
  <si>
    <t>Webcam Logitech</t>
  </si>
  <si>
    <t>EGY004</t>
  </si>
  <si>
    <t>Phone Charger</t>
  </si>
  <si>
    <t>EGY005</t>
  </si>
  <si>
    <t>Laptop HP Egypt</t>
  </si>
  <si>
    <t>EGY006</t>
  </si>
  <si>
    <t>Desktop Lenovo</t>
  </si>
  <si>
    <t>EGY007</t>
  </si>
  <si>
    <t>EGY008</t>
  </si>
  <si>
    <t>EGY009</t>
  </si>
  <si>
    <t>Keyboard Arabic Layout</t>
  </si>
  <si>
    <t>EGY010</t>
  </si>
  <si>
    <t>Speaker Edifier</t>
  </si>
  <si>
    <t>EGY011</t>
  </si>
  <si>
    <t>Router Huawei</t>
  </si>
  <si>
    <t>EGY012</t>
  </si>
  <si>
    <t>Cable HDMI</t>
  </si>
  <si>
    <t>EGY013</t>
  </si>
  <si>
    <t>EGY014</t>
  </si>
  <si>
    <t>EGY015</t>
  </si>
  <si>
    <t>EGY016</t>
  </si>
  <si>
    <t>EGY017</t>
  </si>
  <si>
    <t>External HDD WD</t>
  </si>
  <si>
    <t>EGY018</t>
  </si>
  <si>
    <t>Printer HP LaserJet</t>
  </si>
  <si>
    <t>EGY019</t>
  </si>
  <si>
    <t>Monitor LG Cairo</t>
  </si>
  <si>
    <t>EGY020</t>
  </si>
  <si>
    <t>Microphone Audio</t>
  </si>
  <si>
    <t>EGY021</t>
  </si>
  <si>
    <t>EGY022</t>
  </si>
  <si>
    <t>Adapter USB-C</t>
  </si>
  <si>
    <t>EGY023</t>
  </si>
  <si>
    <t>EGY024</t>
  </si>
  <si>
    <t>EGY025</t>
  </si>
  <si>
    <t>EGY026</t>
  </si>
  <si>
    <t>Tablet Samsung Galaxy</t>
  </si>
  <si>
    <t>EGY027</t>
  </si>
  <si>
    <t>EGY028</t>
  </si>
  <si>
    <t>EGY029</t>
  </si>
  <si>
    <t>EGY030</t>
  </si>
  <si>
    <t>EGY031</t>
  </si>
  <si>
    <t>EGY032</t>
  </si>
  <si>
    <t>EGY033</t>
  </si>
  <si>
    <t>Mouse Wireless</t>
  </si>
  <si>
    <t>EGY034</t>
  </si>
  <si>
    <t>EGY035</t>
  </si>
  <si>
    <t>EGY036</t>
  </si>
  <si>
    <t>EGY037</t>
  </si>
  <si>
    <t>EGY038</t>
  </si>
  <si>
    <t>EGY039</t>
  </si>
  <si>
    <t>EGY040</t>
  </si>
  <si>
    <t>EGY041</t>
  </si>
  <si>
    <t>EGY042</t>
  </si>
  <si>
    <t>EGY043</t>
  </si>
  <si>
    <t>USB Drive SanDisk</t>
  </si>
  <si>
    <t>EGY044</t>
  </si>
  <si>
    <t>EGY045</t>
  </si>
  <si>
    <t>EGY046</t>
  </si>
  <si>
    <t>Switch Cisco</t>
  </si>
  <si>
    <t>EGY047</t>
  </si>
  <si>
    <t>EGY048</t>
  </si>
  <si>
    <t>EGY049</t>
  </si>
  <si>
    <t>Server Dell Egypt</t>
  </si>
  <si>
    <t>EGY050</t>
  </si>
  <si>
    <t xml:space="preserve">Salah </t>
  </si>
  <si>
    <t xml:space="preserve">Nariman </t>
  </si>
  <si>
    <t xml:space="preserve">Smmar </t>
  </si>
  <si>
    <t>Malak</t>
  </si>
  <si>
    <t>What is the difference between them?</t>
  </si>
  <si>
    <t>Safaa</t>
  </si>
  <si>
    <t>Total</t>
  </si>
  <si>
    <t>Dept Name</t>
  </si>
  <si>
    <t>Head</t>
  </si>
  <si>
    <t>OrderYear</t>
  </si>
  <si>
    <t>EmailDomain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</si>
</sst>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:mm:ss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1" fontId="0" fillId="0" borderId="0" xfId="0" applyNumberFormat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53"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yyyy\-mm\-dd\ h:mm:ss"/>
      <alignment horizontal="center" vertical="center" textRotation="0" wrapText="0" indent="0" justifyLastLine="0" shrinkToFit="0" readingOrder="0"/>
    </dxf>
    <dxf>
      <numFmt numFmtId="164" formatCode="yyyy\-mm\-dd\ h:mm:ss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Medium9" defaultPivotStyle="PivotStyleLight16">
    <tableStyle name="Invisible" pivot="0" table="0" count="0" xr9:uid="{5C8963AD-3CBF-497E-BD24-E3A924278B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9DE322-2FCB-425C-BA76-00C4CCA9C34F}" name="Table2" displayName="Table2" ref="G6:J13" totalsRowCount="1" headerRowDxfId="47" dataDxfId="48" tableBorderDxfId="52">
  <autoFilter ref="G6:J12" xr:uid="{5A9DE322-2FCB-425C-BA76-00C4CCA9C34F}"/>
  <tableColumns count="4">
    <tableColumn id="1" xr3:uid="{91692FC3-7774-486D-9835-C29BF2D39E5D}" name="Salah " totalsRowLabel="Total" dataDxfId="51" totalsRowDxfId="46"/>
    <tableColumn id="2" xr3:uid="{0007DC10-F197-4A60-9198-3B136E751393}" name="Nariman " totalsRowFunction="average" dataDxfId="50" totalsRowDxfId="45"/>
    <tableColumn id="3" xr3:uid="{60A40171-D8F4-4C51-B0D8-419DA8B3324B}" name="Smmar " totalsRowFunction="average" dataDxfId="49" totalsRowDxfId="44"/>
    <tableColumn id="4" xr3:uid="{F85912A3-6548-467C-8676-2B74640FB6C0}" name="Malak" totalsRowFunction="sum" dataDxfId="42" totalsRowDxfId="43">
      <calculatedColumnFormula>Table2[[#This Row],[Smmar ]]*Table2[[#This Row],[Nariman ]]</calculatedColumnFormula>
    </tableColumn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0DA86A-E8BB-43C8-8967-4E548FBB1B0B}" name="Table4" displayName="Table4" ref="C6:E12" totalsRowShown="0">
  <autoFilter ref="C6:E12" xr:uid="{E40DA86A-E8BB-43C8-8967-4E548FBB1B0B}"/>
  <tableColumns count="3">
    <tableColumn id="1" xr3:uid="{EB8E88C8-7081-4B31-BFE4-106CB7F869F5}" name="Mostafa"/>
    <tableColumn id="2" xr3:uid="{E0C07A0A-D046-4EEB-B6CB-A97946558FB3}" name="Omar"/>
    <tableColumn id="3" xr3:uid="{D13E9939-5567-4DDE-9494-AD0CBD811CC3}" name="Safaa">
      <calculatedColumnFormula>D7*C7</calculatedColumnFormula>
    </tableColumn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8D28C67-B782-45DE-AC4F-5AE9B1475980}" name="SalesTable" displayName="SalesTable" ref="A1:L101" totalsRowShown="0" headerRowDxfId="34" dataDxfId="33">
  <autoFilter ref="A1:L101" xr:uid="{88D28C67-B782-45DE-AC4F-5AE9B1475980}"/>
  <tableColumns count="12">
    <tableColumn id="1" xr3:uid="{3DAB8B5E-FE74-4509-8E4B-1FBC5C3B0A21}" name="OrderID" dataDxfId="3"/>
    <tableColumn id="2" xr3:uid="{4E9E9656-0DDA-4C4D-88D7-EAEA6222D00B}" name="Date" dataDxfId="2"/>
    <tableColumn id="12" xr3:uid="{E6F22816-621B-44C4-92AD-641A35A05678}" name="OrderYear" dataDxfId="1">
      <calculatedColumnFormula>YEAR(SalesTable[[#This Row],[Date]])</calculatedColumnFormula>
    </tableColumn>
    <tableColumn id="3" xr3:uid="{97259138-0FE7-47E5-B631-C8522A70C796}" name="Product" dataDxfId="41"/>
    <tableColumn id="4" xr3:uid="{1C52AA7A-C71A-45C8-874F-7F1AA567A8CE}" name="Category" dataDxfId="40"/>
    <tableColumn id="5" xr3:uid="{822E7FC9-678A-4D73-848C-339D14AF94DB}" name="Quantity" dataDxfId="39"/>
    <tableColumn id="6" xr3:uid="{3C802C12-30D9-4AAA-BC4B-93FC075E0D0D}" name="UnitPrice" dataDxfId="38"/>
    <tableColumn id="7" xr3:uid="{2EA59F4D-2E9B-4774-83EB-26C335C7DDC6}" name="TotalPrice" dataDxfId="4">
      <calculatedColumnFormula>SalesTable[[#This Row],[Quantity]] * SalesTable[[#This Row],[UnitPrice]]</calculatedColumnFormula>
    </tableColumn>
    <tableColumn id="8" xr3:uid="{F18B64DF-2AC7-4F69-8B40-A5C2AFFB81E6}" name="CustomerName" dataDxfId="37"/>
    <tableColumn id="9" xr3:uid="{BE58DA0E-B3AB-43A7-9580-C437394503B1}" name="Email" dataDxfId="36"/>
    <tableColumn id="13" xr3:uid="{5ADB20C6-E6DF-4BA2-98C4-FFF66329719E}" name="EmailDomain" dataDxfId="0">
      <calculatedColumnFormula>RIGHT(SalesTable[[#This Row],[Email]], LEN(SalesTable[[#This Row],[Email]]) - FIND("@", SalesTable[[#This Row],[Email]]))</calculatedColumnFormula>
    </tableColumn>
    <tableColumn id="10" xr3:uid="{8C3FECA1-992B-400A-9BFF-4F05D3B3E036}" name="Governorate" dataDxfId="35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BF6DF7-3482-4724-9F80-970688912B23}" name="EmployeeTable" displayName="EmployeeTable" ref="A1:I31" totalsRowShown="0" headerRowDxfId="23" dataDxfId="22">
  <autoFilter ref="A1:I31" xr:uid="{40BF6DF7-3482-4724-9F80-970688912B23}"/>
  <tableColumns count="9">
    <tableColumn id="1" xr3:uid="{FF9CF4CE-1FF1-481A-B35E-24E145540DC9}" name="EmployeeID" dataDxfId="32"/>
    <tableColumn id="2" xr3:uid="{C2708FC9-D605-4B6D-9A78-597CECC1DD7F}" name="FirstName" dataDxfId="31"/>
    <tableColumn id="3" xr3:uid="{02D02C17-03BD-4199-A3EB-CA2EA74D5867}" name="LastName" dataDxfId="30"/>
    <tableColumn id="4" xr3:uid="{589B8884-13AF-4D4E-9B97-4D04CB92C587}" name="DateOfBirth" dataDxfId="29"/>
    <tableColumn id="5" xr3:uid="{754D21C4-7100-4E59-9A80-318BAF48D913}" name="HireDate" dataDxfId="28"/>
    <tableColumn id="6" xr3:uid="{6875B9AF-01D6-4842-A474-3EAF375EB943}" name="Department" dataDxfId="27"/>
    <tableColumn id="7" xr3:uid="{8AEC3693-C4F7-49FB-87B4-F0242C6B29B2}" name="Salary" dataDxfId="26"/>
    <tableColumn id="8" xr3:uid="{A2EA4226-8F5C-4EFA-81DA-5C37336A8F07}" name="PerformanceRating" dataDxfId="25"/>
    <tableColumn id="9" xr3:uid="{3CED9966-9476-48A6-A0A5-E42DEC0AAA86}" name="Status" dataDxfId="24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23C9407-1286-4AB5-8DB1-482382F5FEC0}" name="Table8" displayName="Table8" ref="A1:G2" totalsRowShown="0" headerRowDxfId="14" dataDxfId="13">
  <autoFilter ref="A1:G2" xr:uid="{B23C9407-1286-4AB5-8DB1-482382F5FEC0}"/>
  <tableColumns count="7">
    <tableColumn id="1" xr3:uid="{FCC9D360-8BB3-4547-9B9A-9833EA8115B8}" name="Dept Name" dataDxfId="21"/>
    <tableColumn id="2" xr3:uid="{2E6A9BC2-0BC6-40B5-80A0-548D1F1EC600}" name="Sales" dataDxfId="20"/>
    <tableColumn id="3" xr3:uid="{0F027AAA-5F25-41B4-90FD-6D6A6A00E13F}" name="Marketing" dataDxfId="19"/>
    <tableColumn id="4" xr3:uid="{79038174-9ECB-4730-9E78-CF576BDC90E1}" name="HR" dataDxfId="18"/>
    <tableColumn id="5" xr3:uid="{57ACCD93-CA87-4B6D-BC2D-7CC7B41FAFC3}" name="IT" dataDxfId="17"/>
    <tableColumn id="6" xr3:uid="{319C99A9-7FD5-484A-B145-258FAC4FFD29}" name="Finance" dataDxfId="16"/>
    <tableColumn id="7" xr3:uid="{9351911E-6AA6-4FE2-9820-0F3E7C06C611}" name="Operations" dataDxfId="15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1D4DEBF-ED57-432F-98A1-ABE9C74E98D7}" name="InventoryTable" displayName="InventoryTable" ref="A1:F52" totalsRowShown="0" headerRowDxfId="6" dataDxfId="5">
  <autoFilter ref="A1:F52" xr:uid="{F1D4DEBF-ED57-432F-98A1-ABE9C74E98D7}"/>
  <tableColumns count="6">
    <tableColumn id="1" xr3:uid="{4B96CD59-37B9-4B41-96D5-DC2F0623D50D}" name="ProductID" dataDxfId="12"/>
    <tableColumn id="2" xr3:uid="{00738CEB-1827-4D55-A9CE-A4FE252CEF80}" name="ProductName" dataDxfId="11"/>
    <tableColumn id="3" xr3:uid="{F0AF144B-2612-43A6-9872-8184137AECF0}" name="CurrentStock" dataDxfId="10"/>
    <tableColumn id="4" xr3:uid="{1921485A-475A-473D-B495-6BFE4A5C0D23}" name="ReorderLevel" dataDxfId="9"/>
    <tableColumn id="5" xr3:uid="{9A779D84-3E34-4C6F-BC14-5E8FCEA4ACEA}" name="CostPerUnit" dataDxfId="8"/>
    <tableColumn id="6" xr3:uid="{D3B9E48E-EA6D-4207-9D7E-39A82D741673}" name="SellingPrice" dataDxfId="7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4147E-EA6D-48FC-A52F-30E8C8F007C7}">
  <dimension ref="B2:J13"/>
  <sheetViews>
    <sheetView showGridLines="0" workbookViewId="0">
      <selection activeCell="D11" sqref="D11"/>
    </sheetView>
  </sheetViews>
  <sheetFormatPr defaultRowHeight="14.4" x14ac:dyDescent="0.3"/>
  <cols>
    <col min="3" max="3" width="16" customWidth="1"/>
    <col min="4" max="4" width="18.77734375" customWidth="1"/>
    <col min="5" max="5" width="12.6640625" customWidth="1"/>
    <col min="6" max="6" width="11.88671875" customWidth="1"/>
    <col min="7" max="7" width="12.33203125" customWidth="1"/>
    <col min="8" max="8" width="13.6640625" customWidth="1"/>
    <col min="9" max="9" width="13.44140625" customWidth="1"/>
    <col min="10" max="10" width="12.6640625" customWidth="1"/>
  </cols>
  <sheetData>
    <row r="2" spans="2:10" ht="14.4" customHeight="1" x14ac:dyDescent="0.3">
      <c r="B2" s="4" t="s">
        <v>348</v>
      </c>
      <c r="C2" s="4"/>
      <c r="D2" s="4"/>
      <c r="E2" s="4"/>
    </row>
    <row r="3" spans="2:10" x14ac:dyDescent="0.3">
      <c r="B3" s="4"/>
      <c r="C3" s="4"/>
      <c r="D3" s="4"/>
      <c r="E3" s="4"/>
    </row>
    <row r="6" spans="2:10" ht="18.600000000000001" thickBot="1" x14ac:dyDescent="0.4">
      <c r="C6" s="15" t="s">
        <v>232</v>
      </c>
      <c r="D6" s="15" t="s">
        <v>246</v>
      </c>
      <c r="E6" s="15" t="s">
        <v>349</v>
      </c>
      <c r="F6" s="3"/>
      <c r="G6" s="11" t="s">
        <v>344</v>
      </c>
      <c r="H6" s="12" t="s">
        <v>345</v>
      </c>
      <c r="I6" s="12" t="s">
        <v>346</v>
      </c>
      <c r="J6" s="12" t="s">
        <v>347</v>
      </c>
    </row>
    <row r="7" spans="2:10" ht="18" x14ac:dyDescent="0.35">
      <c r="C7" s="15">
        <v>12</v>
      </c>
      <c r="D7" s="15">
        <v>23</v>
      </c>
      <c r="E7" s="15">
        <f>D7*C7</f>
        <v>276</v>
      </c>
      <c r="F7" s="2"/>
      <c r="G7" s="8">
        <v>44</v>
      </c>
      <c r="H7" s="5">
        <v>54</v>
      </c>
      <c r="I7" s="5">
        <v>45</v>
      </c>
      <c r="J7" s="5">
        <f>Table2[[#This Row],[Smmar ]]*Table2[[#This Row],[Nariman ]]</f>
        <v>2430</v>
      </c>
    </row>
    <row r="8" spans="2:10" ht="18" x14ac:dyDescent="0.35">
      <c r="C8" s="15">
        <v>12</v>
      </c>
      <c r="D8" s="15">
        <v>23</v>
      </c>
      <c r="E8" s="15">
        <f t="shared" ref="E8:E12" si="0">D8*C8</f>
        <v>276</v>
      </c>
      <c r="F8" s="2"/>
      <c r="G8" s="9">
        <v>44</v>
      </c>
      <c r="H8" s="6">
        <v>54</v>
      </c>
      <c r="I8" s="6">
        <v>45</v>
      </c>
      <c r="J8" s="6">
        <f>Table2[[#This Row],[Smmar ]]*Table2[[#This Row],[Nariman ]]</f>
        <v>2430</v>
      </c>
    </row>
    <row r="9" spans="2:10" ht="18" x14ac:dyDescent="0.35">
      <c r="C9" s="15">
        <v>12</v>
      </c>
      <c r="D9" s="15">
        <v>23</v>
      </c>
      <c r="E9" s="15">
        <f t="shared" si="0"/>
        <v>276</v>
      </c>
      <c r="F9" s="2"/>
      <c r="G9" s="10">
        <v>45</v>
      </c>
      <c r="H9" s="7">
        <v>54</v>
      </c>
      <c r="I9" s="7">
        <v>45</v>
      </c>
      <c r="J9" s="7">
        <f>Table2[[#This Row],[Smmar ]]*Table2[[#This Row],[Nariman ]]</f>
        <v>2430</v>
      </c>
    </row>
    <row r="10" spans="2:10" ht="18" x14ac:dyDescent="0.35">
      <c r="C10" s="15">
        <v>12</v>
      </c>
      <c r="D10" s="15">
        <v>23</v>
      </c>
      <c r="E10" s="15">
        <f t="shared" si="0"/>
        <v>276</v>
      </c>
      <c r="F10" s="2"/>
      <c r="G10" s="9">
        <v>46</v>
      </c>
      <c r="H10" s="6">
        <v>54</v>
      </c>
      <c r="I10" s="6">
        <v>45</v>
      </c>
      <c r="J10" s="6">
        <f>Table2[[#This Row],[Smmar ]]*Table2[[#This Row],[Nariman ]]</f>
        <v>2430</v>
      </c>
    </row>
    <row r="11" spans="2:10" ht="18" x14ac:dyDescent="0.35">
      <c r="C11" s="15">
        <v>12</v>
      </c>
      <c r="D11" s="15">
        <v>23</v>
      </c>
      <c r="E11" s="15">
        <f t="shared" si="0"/>
        <v>276</v>
      </c>
      <c r="F11" s="2"/>
      <c r="G11" s="10">
        <v>47</v>
      </c>
      <c r="H11" s="7">
        <v>54</v>
      </c>
      <c r="I11" s="7">
        <v>45</v>
      </c>
      <c r="J11" s="7">
        <f>Table2[[#This Row],[Smmar ]]*Table2[[#This Row],[Nariman ]]</f>
        <v>2430</v>
      </c>
    </row>
    <row r="12" spans="2:10" ht="18" x14ac:dyDescent="0.35">
      <c r="C12" s="15">
        <v>12</v>
      </c>
      <c r="D12" s="15">
        <v>23</v>
      </c>
      <c r="E12" s="15">
        <f t="shared" si="0"/>
        <v>276</v>
      </c>
      <c r="F12" s="2"/>
      <c r="G12" s="9">
        <v>44</v>
      </c>
      <c r="H12" s="6">
        <v>54</v>
      </c>
      <c r="I12" s="6">
        <v>45</v>
      </c>
      <c r="J12" s="6">
        <f>Table2[[#This Row],[Smmar ]]*Table2[[#This Row],[Nariman ]]</f>
        <v>2430</v>
      </c>
    </row>
    <row r="13" spans="2:10" ht="18" x14ac:dyDescent="0.35">
      <c r="C13" s="1"/>
      <c r="D13" s="1"/>
      <c r="E13" s="1"/>
      <c r="F13" s="1"/>
      <c r="G13" s="13" t="s">
        <v>350</v>
      </c>
      <c r="H13" s="14">
        <f>SUBTOTAL(101,Table2[[Nariman ]])</f>
        <v>54</v>
      </c>
      <c r="I13" s="14">
        <f>SUBTOTAL(101,Table2[[Smmar ]])</f>
        <v>45</v>
      </c>
      <c r="J13" s="14">
        <f>SUBTOTAL(109,Table2[Malak])</f>
        <v>14580</v>
      </c>
    </row>
  </sheetData>
  <mergeCells count="1">
    <mergeCell ref="B2:E3"/>
  </mergeCell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showGridLines="0" tabSelected="1" workbookViewId="0">
      <selection activeCell="L3" sqref="L3"/>
    </sheetView>
  </sheetViews>
  <sheetFormatPr defaultRowHeight="14.4" x14ac:dyDescent="0.3"/>
  <cols>
    <col min="1" max="1" width="12" bestFit="1" customWidth="1"/>
    <col min="2" max="2" width="17" style="19" bestFit="1" customWidth="1"/>
    <col min="3" max="3" width="17" style="21" customWidth="1"/>
    <col min="4" max="4" width="15.5546875" bestFit="1" customWidth="1"/>
    <col min="5" max="5" width="13" bestFit="1" customWidth="1"/>
    <col min="6" max="6" width="12.77734375" bestFit="1" customWidth="1"/>
    <col min="7" max="7" width="13.109375" bestFit="1" customWidth="1"/>
    <col min="8" max="8" width="13.77734375" bestFit="1" customWidth="1"/>
    <col min="9" max="9" width="18.6640625" bestFit="1" customWidth="1"/>
    <col min="10" max="10" width="28.77734375" bestFit="1" customWidth="1"/>
    <col min="11" max="11" width="28.77734375" customWidth="1"/>
    <col min="12" max="12" width="16" bestFit="1" customWidth="1"/>
  </cols>
  <sheetData>
    <row r="1" spans="1:12" x14ac:dyDescent="0.3">
      <c r="A1" s="16" t="s">
        <v>0</v>
      </c>
      <c r="B1" s="18" t="s">
        <v>1</v>
      </c>
      <c r="C1" s="20" t="s">
        <v>353</v>
      </c>
      <c r="D1" s="16" t="s">
        <v>2</v>
      </c>
      <c r="E1" s="16" t="s">
        <v>3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354</v>
      </c>
      <c r="L1" s="16" t="s">
        <v>9</v>
      </c>
    </row>
    <row r="2" spans="1:12" x14ac:dyDescent="0.3">
      <c r="A2" s="16" t="s">
        <v>10</v>
      </c>
      <c r="B2" s="18">
        <v>45624</v>
      </c>
      <c r="C2" s="20">
        <f>YEAR(SalesTable[[#This Row],[Date]])</f>
        <v>2024</v>
      </c>
      <c r="D2" s="16" t="s">
        <v>11</v>
      </c>
      <c r="E2" s="16" t="s">
        <v>12</v>
      </c>
      <c r="F2" s="16">
        <v>3</v>
      </c>
      <c r="G2" s="16">
        <v>3263.78</v>
      </c>
      <c r="H2" s="16">
        <f>SalesTable[[#This Row],[Quantity]] * SalesTable[[#This Row],[UnitPrice]]</f>
        <v>9791.34</v>
      </c>
      <c r="I2" s="16" t="s">
        <v>13</v>
      </c>
      <c r="J2" s="16" t="s">
        <v>14</v>
      </c>
      <c r="K2" s="16" t="str">
        <f>RIGHT(SalesTable[[#This Row],[Email]], LEN(SalesTable[[#This Row],[Email]]) - FIND("@", SalesTable[[#This Row],[Email]]))</f>
        <v>egypt.com</v>
      </c>
      <c r="L2" s="16" t="s">
        <v>15</v>
      </c>
    </row>
    <row r="3" spans="1:12" x14ac:dyDescent="0.3">
      <c r="A3" s="16" t="s">
        <v>16</v>
      </c>
      <c r="B3" s="18">
        <v>45493</v>
      </c>
      <c r="C3" s="20">
        <f>YEAR(SalesTable[[#This Row],[Date]])</f>
        <v>2024</v>
      </c>
      <c r="D3" s="16" t="s">
        <v>17</v>
      </c>
      <c r="E3" s="16" t="s">
        <v>18</v>
      </c>
      <c r="F3" s="16">
        <v>1</v>
      </c>
      <c r="G3" s="16">
        <v>2443.9299999999998</v>
      </c>
      <c r="H3" s="16">
        <f>SalesTable[[#This Row],[Quantity]] * SalesTable[[#This Row],[UnitPrice]]</f>
        <v>2443.9299999999998</v>
      </c>
      <c r="I3" s="16" t="s">
        <v>19</v>
      </c>
      <c r="J3" s="16" t="s">
        <v>20</v>
      </c>
      <c r="K3" s="16" t="str">
        <f>RIGHT(SalesTable[[#This Row],[Email]], LEN(SalesTable[[#This Row],[Email]]) - FIND("@", SalesTable[[#This Row],[Email]]))</f>
        <v>egypt.com</v>
      </c>
      <c r="L3" s="16" t="s">
        <v>21</v>
      </c>
    </row>
    <row r="4" spans="1:12" x14ac:dyDescent="0.3">
      <c r="A4" s="16" t="s">
        <v>22</v>
      </c>
      <c r="B4" s="18">
        <v>45420</v>
      </c>
      <c r="C4" s="20">
        <f>YEAR(SalesTable[[#This Row],[Date]])</f>
        <v>2024</v>
      </c>
      <c r="D4" s="16" t="s">
        <v>23</v>
      </c>
      <c r="E4" s="16" t="s">
        <v>12</v>
      </c>
      <c r="F4" s="16">
        <v>6</v>
      </c>
      <c r="G4" s="16">
        <v>2519.98</v>
      </c>
      <c r="H4" s="16">
        <f>SalesTable[[#This Row],[Quantity]] * SalesTable[[#This Row],[UnitPrice]]</f>
        <v>15119.880000000001</v>
      </c>
      <c r="I4" s="16" t="s">
        <v>24</v>
      </c>
      <c r="J4" s="16" t="s">
        <v>25</v>
      </c>
      <c r="K4" s="16" t="str">
        <f>RIGHT(SalesTable[[#This Row],[Email]], LEN(SalesTable[[#This Row],[Email]]) - FIND("@", SalesTable[[#This Row],[Email]]))</f>
        <v>egypt.com</v>
      </c>
      <c r="L4" s="16" t="s">
        <v>26</v>
      </c>
    </row>
    <row r="5" spans="1:12" x14ac:dyDescent="0.3">
      <c r="A5" s="16" t="s">
        <v>27</v>
      </c>
      <c r="B5" s="18">
        <v>45362</v>
      </c>
      <c r="C5" s="20">
        <f>YEAR(SalesTable[[#This Row],[Date]])</f>
        <v>2024</v>
      </c>
      <c r="D5" s="16" t="s">
        <v>28</v>
      </c>
      <c r="E5" s="16" t="s">
        <v>12</v>
      </c>
      <c r="F5" s="16">
        <v>2</v>
      </c>
      <c r="G5" s="16">
        <v>2966.88</v>
      </c>
      <c r="H5" s="16">
        <f>SalesTable[[#This Row],[Quantity]] * SalesTable[[#This Row],[UnitPrice]]</f>
        <v>5933.76</v>
      </c>
      <c r="I5" s="16" t="s">
        <v>29</v>
      </c>
      <c r="J5" s="16" t="s">
        <v>30</v>
      </c>
      <c r="K5" s="16" t="str">
        <f>RIGHT(SalesTable[[#This Row],[Email]], LEN(SalesTable[[#This Row],[Email]]) - FIND("@", SalesTable[[#This Row],[Email]]))</f>
        <v>egypt.com</v>
      </c>
      <c r="L5" s="16" t="s">
        <v>31</v>
      </c>
    </row>
    <row r="6" spans="1:12" x14ac:dyDescent="0.3">
      <c r="A6" s="16" t="s">
        <v>32</v>
      </c>
      <c r="B6" s="18">
        <v>45643</v>
      </c>
      <c r="C6" s="20">
        <f>YEAR(SalesTable[[#This Row],[Date]])</f>
        <v>2024</v>
      </c>
      <c r="D6" s="16" t="s">
        <v>28</v>
      </c>
      <c r="E6" s="16" t="s">
        <v>12</v>
      </c>
      <c r="F6" s="16">
        <v>9</v>
      </c>
      <c r="G6" s="16">
        <v>1288.3</v>
      </c>
      <c r="H6" s="16">
        <f>SalesTable[[#This Row],[Quantity]] * SalesTable[[#This Row],[UnitPrice]]</f>
        <v>11594.699999999999</v>
      </c>
      <c r="I6" s="16" t="s">
        <v>33</v>
      </c>
      <c r="J6" s="16" t="s">
        <v>34</v>
      </c>
      <c r="K6" s="16" t="str">
        <f>RIGHT(SalesTable[[#This Row],[Email]], LEN(SalesTable[[#This Row],[Email]]) - FIND("@", SalesTable[[#This Row],[Email]]))</f>
        <v>egypt.com</v>
      </c>
      <c r="L6" s="16" t="s">
        <v>35</v>
      </c>
    </row>
    <row r="7" spans="1:12" x14ac:dyDescent="0.3">
      <c r="A7" s="16" t="s">
        <v>36</v>
      </c>
      <c r="B7" s="18">
        <v>45436</v>
      </c>
      <c r="C7" s="20">
        <f>YEAR(SalesTable[[#This Row],[Date]])</f>
        <v>2024</v>
      </c>
      <c r="D7" s="16" t="s">
        <v>37</v>
      </c>
      <c r="E7" s="16" t="s">
        <v>12</v>
      </c>
      <c r="F7" s="16">
        <v>5</v>
      </c>
      <c r="G7" s="16">
        <v>247.72</v>
      </c>
      <c r="H7" s="16">
        <f>SalesTable[[#This Row],[Quantity]] * SalesTable[[#This Row],[UnitPrice]]</f>
        <v>1238.5999999999999</v>
      </c>
      <c r="I7" s="16" t="s">
        <v>38</v>
      </c>
      <c r="J7" s="16" t="s">
        <v>39</v>
      </c>
      <c r="K7" s="16" t="str">
        <f>RIGHT(SalesTable[[#This Row],[Email]], LEN(SalesTable[[#This Row],[Email]]) - FIND("@", SalesTable[[#This Row],[Email]]))</f>
        <v>egypt.com</v>
      </c>
      <c r="L7" s="16" t="s">
        <v>40</v>
      </c>
    </row>
    <row r="8" spans="1:12" x14ac:dyDescent="0.3">
      <c r="A8" s="16" t="s">
        <v>41</v>
      </c>
      <c r="B8" s="18">
        <v>45512</v>
      </c>
      <c r="C8" s="20">
        <f>YEAR(SalesTable[[#This Row],[Date]])</f>
        <v>2024</v>
      </c>
      <c r="D8" s="16" t="s">
        <v>42</v>
      </c>
      <c r="E8" s="16" t="s">
        <v>18</v>
      </c>
      <c r="F8" s="16">
        <v>2</v>
      </c>
      <c r="G8" s="16">
        <v>120.58</v>
      </c>
      <c r="H8" s="16">
        <f>SalesTable[[#This Row],[Quantity]] * SalesTable[[#This Row],[UnitPrice]]</f>
        <v>241.16</v>
      </c>
      <c r="I8" s="16" t="s">
        <v>43</v>
      </c>
      <c r="J8" s="16" t="s">
        <v>44</v>
      </c>
      <c r="K8" s="16" t="str">
        <f>RIGHT(SalesTable[[#This Row],[Email]], LEN(SalesTable[[#This Row],[Email]]) - FIND("@", SalesTable[[#This Row],[Email]]))</f>
        <v>egypt.com</v>
      </c>
      <c r="L8" s="16" t="s">
        <v>45</v>
      </c>
    </row>
    <row r="9" spans="1:12" x14ac:dyDescent="0.3">
      <c r="A9" s="16" t="s">
        <v>46</v>
      </c>
      <c r="B9" s="18">
        <v>45519</v>
      </c>
      <c r="C9" s="20">
        <f>YEAR(SalesTable[[#This Row],[Date]])</f>
        <v>2024</v>
      </c>
      <c r="D9" s="16" t="s">
        <v>23</v>
      </c>
      <c r="E9" s="16" t="s">
        <v>12</v>
      </c>
      <c r="F9" s="16">
        <v>8</v>
      </c>
      <c r="G9" s="16">
        <v>2716.97</v>
      </c>
      <c r="H9" s="16">
        <f>SalesTable[[#This Row],[Quantity]] * SalesTable[[#This Row],[UnitPrice]]</f>
        <v>21735.759999999998</v>
      </c>
      <c r="I9" s="16" t="s">
        <v>47</v>
      </c>
      <c r="J9" s="16" t="s">
        <v>48</v>
      </c>
      <c r="K9" s="16" t="str">
        <f>RIGHT(SalesTable[[#This Row],[Email]], LEN(SalesTable[[#This Row],[Email]]) - FIND("@", SalesTable[[#This Row],[Email]]))</f>
        <v>egypt.com</v>
      </c>
      <c r="L9" s="16" t="s">
        <v>45</v>
      </c>
    </row>
    <row r="10" spans="1:12" x14ac:dyDescent="0.3">
      <c r="A10" s="16" t="s">
        <v>49</v>
      </c>
      <c r="B10" s="18">
        <v>45520</v>
      </c>
      <c r="C10" s="20">
        <f>YEAR(SalesTable[[#This Row],[Date]])</f>
        <v>2024</v>
      </c>
      <c r="D10" s="16" t="s">
        <v>50</v>
      </c>
      <c r="E10" s="16" t="s">
        <v>18</v>
      </c>
      <c r="F10" s="16">
        <v>3</v>
      </c>
      <c r="G10" s="16">
        <v>4951.57</v>
      </c>
      <c r="H10" s="16">
        <f>SalesTable[[#This Row],[Quantity]] * SalesTable[[#This Row],[UnitPrice]]</f>
        <v>14854.71</v>
      </c>
      <c r="I10" s="16" t="s">
        <v>51</v>
      </c>
      <c r="J10" s="16" t="s">
        <v>52</v>
      </c>
      <c r="K10" s="16" t="str">
        <f>RIGHT(SalesTable[[#This Row],[Email]], LEN(SalesTable[[#This Row],[Email]]) - FIND("@", SalesTable[[#This Row],[Email]]))</f>
        <v>egypt.com</v>
      </c>
      <c r="L10" s="16" t="s">
        <v>53</v>
      </c>
    </row>
    <row r="11" spans="1:12" x14ac:dyDescent="0.3">
      <c r="A11" s="16" t="s">
        <v>54</v>
      </c>
      <c r="B11" s="18">
        <v>45568</v>
      </c>
      <c r="C11" s="20">
        <f>YEAR(SalesTable[[#This Row],[Date]])</f>
        <v>2024</v>
      </c>
      <c r="D11" s="16" t="s">
        <v>17</v>
      </c>
      <c r="E11" s="16" t="s">
        <v>18</v>
      </c>
      <c r="F11" s="16">
        <v>6</v>
      </c>
      <c r="G11" s="16">
        <v>3485.08</v>
      </c>
      <c r="H11" s="16">
        <f>SalesTable[[#This Row],[Quantity]] * SalesTable[[#This Row],[UnitPrice]]</f>
        <v>20910.48</v>
      </c>
      <c r="I11" s="16" t="s">
        <v>29</v>
      </c>
      <c r="J11" s="16" t="s">
        <v>30</v>
      </c>
      <c r="K11" s="16" t="str">
        <f>RIGHT(SalesTable[[#This Row],[Email]], LEN(SalesTable[[#This Row],[Email]]) - FIND("@", SalesTable[[#This Row],[Email]]))</f>
        <v>egypt.com</v>
      </c>
      <c r="L11" s="16" t="s">
        <v>45</v>
      </c>
    </row>
    <row r="12" spans="1:12" x14ac:dyDescent="0.3">
      <c r="A12" s="16" t="s">
        <v>55</v>
      </c>
      <c r="B12" s="18">
        <v>45344</v>
      </c>
      <c r="C12" s="20">
        <f>YEAR(SalesTable[[#This Row],[Date]])</f>
        <v>2024</v>
      </c>
      <c r="D12" s="16" t="s">
        <v>42</v>
      </c>
      <c r="E12" s="16" t="s">
        <v>18</v>
      </c>
      <c r="F12" s="16">
        <v>1</v>
      </c>
      <c r="G12" s="16">
        <v>222.91</v>
      </c>
      <c r="H12" s="16">
        <f>SalesTable[[#This Row],[Quantity]] * SalesTable[[#This Row],[UnitPrice]]</f>
        <v>222.91</v>
      </c>
      <c r="I12" s="16" t="s">
        <v>56</v>
      </c>
      <c r="J12" s="16" t="s">
        <v>57</v>
      </c>
      <c r="K12" s="16" t="str">
        <f>RIGHT(SalesTable[[#This Row],[Email]], LEN(SalesTable[[#This Row],[Email]]) - FIND("@", SalesTable[[#This Row],[Email]]))</f>
        <v>egypt.com</v>
      </c>
      <c r="L12" s="16" t="s">
        <v>35</v>
      </c>
    </row>
    <row r="13" spans="1:12" x14ac:dyDescent="0.3">
      <c r="A13" s="16" t="s">
        <v>58</v>
      </c>
      <c r="B13" s="18">
        <v>45450</v>
      </c>
      <c r="C13" s="20">
        <f>YEAR(SalesTable[[#This Row],[Date]])</f>
        <v>2024</v>
      </c>
      <c r="D13" s="16" t="s">
        <v>42</v>
      </c>
      <c r="E13" s="16" t="s">
        <v>18</v>
      </c>
      <c r="F13" s="16">
        <v>5</v>
      </c>
      <c r="G13" s="16">
        <v>836.57</v>
      </c>
      <c r="H13" s="16">
        <f>SalesTable[[#This Row],[Quantity]] * SalesTable[[#This Row],[UnitPrice]]</f>
        <v>4182.8500000000004</v>
      </c>
      <c r="I13" s="16" t="s">
        <v>29</v>
      </c>
      <c r="J13" s="16" t="s">
        <v>30</v>
      </c>
      <c r="K13" s="16" t="str">
        <f>RIGHT(SalesTable[[#This Row],[Email]], LEN(SalesTable[[#This Row],[Email]]) - FIND("@", SalesTable[[#This Row],[Email]]))</f>
        <v>egypt.com</v>
      </c>
      <c r="L13" s="16" t="s">
        <v>59</v>
      </c>
    </row>
    <row r="14" spans="1:12" x14ac:dyDescent="0.3">
      <c r="A14" s="16" t="s">
        <v>60</v>
      </c>
      <c r="B14" s="18">
        <v>45294</v>
      </c>
      <c r="C14" s="20">
        <f>YEAR(SalesTable[[#This Row],[Date]])</f>
        <v>2024</v>
      </c>
      <c r="D14" s="16" t="s">
        <v>11</v>
      </c>
      <c r="E14" s="16" t="s">
        <v>12</v>
      </c>
      <c r="F14" s="16">
        <v>1</v>
      </c>
      <c r="G14" s="16">
        <v>603.28</v>
      </c>
      <c r="H14" s="16">
        <f>SalesTable[[#This Row],[Quantity]] * SalesTable[[#This Row],[UnitPrice]]</f>
        <v>603.28</v>
      </c>
      <c r="I14" s="16" t="s">
        <v>19</v>
      </c>
      <c r="J14" s="16" t="s">
        <v>20</v>
      </c>
      <c r="K14" s="16" t="str">
        <f>RIGHT(SalesTable[[#This Row],[Email]], LEN(SalesTable[[#This Row],[Email]]) - FIND("@", SalesTable[[#This Row],[Email]]))</f>
        <v>egypt.com</v>
      </c>
      <c r="L14" s="16" t="s">
        <v>61</v>
      </c>
    </row>
    <row r="15" spans="1:12" x14ac:dyDescent="0.3">
      <c r="A15" s="16" t="s">
        <v>62</v>
      </c>
      <c r="B15" s="18">
        <v>45437</v>
      </c>
      <c r="C15" s="20">
        <f>YEAR(SalesTable[[#This Row],[Date]])</f>
        <v>2024</v>
      </c>
      <c r="D15" s="16" t="s">
        <v>63</v>
      </c>
      <c r="E15" s="16" t="s">
        <v>12</v>
      </c>
      <c r="F15" s="16">
        <v>3</v>
      </c>
      <c r="G15" s="16">
        <v>1983.02</v>
      </c>
      <c r="H15" s="16">
        <f>SalesTable[[#This Row],[Quantity]] * SalesTable[[#This Row],[UnitPrice]]</f>
        <v>5949.0599999999995</v>
      </c>
      <c r="I15" s="16" t="s">
        <v>64</v>
      </c>
      <c r="J15" s="16" t="s">
        <v>65</v>
      </c>
      <c r="K15" s="16" t="str">
        <f>RIGHT(SalesTable[[#This Row],[Email]], LEN(SalesTable[[#This Row],[Email]]) - FIND("@", SalesTable[[#This Row],[Email]]))</f>
        <v>egypt.com</v>
      </c>
      <c r="L15" s="16" t="s">
        <v>66</v>
      </c>
    </row>
    <row r="16" spans="1:12" x14ac:dyDescent="0.3">
      <c r="A16" s="16" t="s">
        <v>67</v>
      </c>
      <c r="B16" s="18">
        <v>45638</v>
      </c>
      <c r="C16" s="20">
        <f>YEAR(SalesTable[[#This Row],[Date]])</f>
        <v>2024</v>
      </c>
      <c r="D16" s="16" t="s">
        <v>23</v>
      </c>
      <c r="E16" s="16" t="s">
        <v>12</v>
      </c>
      <c r="F16" s="16">
        <v>6</v>
      </c>
      <c r="G16" s="16">
        <v>226.21</v>
      </c>
      <c r="H16" s="16">
        <f>SalesTable[[#This Row],[Quantity]] * SalesTable[[#This Row],[UnitPrice]]</f>
        <v>1357.26</v>
      </c>
      <c r="I16" s="16" t="s">
        <v>47</v>
      </c>
      <c r="J16" s="16" t="s">
        <v>48</v>
      </c>
      <c r="K16" s="16" t="str">
        <f>RIGHT(SalesTable[[#This Row],[Email]], LEN(SalesTable[[#This Row],[Email]]) - FIND("@", SalesTable[[#This Row],[Email]]))</f>
        <v>egypt.com</v>
      </c>
      <c r="L16" s="16" t="s">
        <v>35</v>
      </c>
    </row>
    <row r="17" spans="1:12" x14ac:dyDescent="0.3">
      <c r="A17" s="16" t="s">
        <v>68</v>
      </c>
      <c r="B17" s="18">
        <v>45656</v>
      </c>
      <c r="C17" s="20">
        <f>YEAR(SalesTable[[#This Row],[Date]])</f>
        <v>2024</v>
      </c>
      <c r="D17" s="16" t="s">
        <v>50</v>
      </c>
      <c r="E17" s="16" t="s">
        <v>18</v>
      </c>
      <c r="F17" s="16">
        <v>3</v>
      </c>
      <c r="G17" s="16">
        <v>1263.49</v>
      </c>
      <c r="H17" s="16">
        <f>SalesTable[[#This Row],[Quantity]] * SalesTable[[#This Row],[UnitPrice]]</f>
        <v>3790.4700000000003</v>
      </c>
      <c r="I17" s="16" t="s">
        <v>51</v>
      </c>
      <c r="J17" s="16" t="s">
        <v>52</v>
      </c>
      <c r="K17" s="16" t="str">
        <f>RIGHT(SalesTable[[#This Row],[Email]], LEN(SalesTable[[#This Row],[Email]]) - FIND("@", SalesTable[[#This Row],[Email]]))</f>
        <v>egypt.com</v>
      </c>
      <c r="L17" s="16" t="s">
        <v>69</v>
      </c>
    </row>
    <row r="18" spans="1:12" x14ac:dyDescent="0.3">
      <c r="A18" s="16" t="s">
        <v>70</v>
      </c>
      <c r="B18" s="18">
        <v>45581</v>
      </c>
      <c r="C18" s="20">
        <f>YEAR(SalesTable[[#This Row],[Date]])</f>
        <v>2024</v>
      </c>
      <c r="D18" s="16" t="s">
        <v>42</v>
      </c>
      <c r="E18" s="16" t="s">
        <v>18</v>
      </c>
      <c r="F18" s="16">
        <v>6</v>
      </c>
      <c r="G18" s="16">
        <v>322.72000000000003</v>
      </c>
      <c r="H18" s="16">
        <f>SalesTable[[#This Row],[Quantity]] * SalesTable[[#This Row],[UnitPrice]]</f>
        <v>1936.3200000000002</v>
      </c>
      <c r="I18" s="16" t="s">
        <v>47</v>
      </c>
      <c r="J18" s="16" t="s">
        <v>48</v>
      </c>
      <c r="K18" s="16" t="str">
        <f>RIGHT(SalesTable[[#This Row],[Email]], LEN(SalesTable[[#This Row],[Email]]) - FIND("@", SalesTable[[#This Row],[Email]]))</f>
        <v>egypt.com</v>
      </c>
      <c r="L18" s="16" t="s">
        <v>71</v>
      </c>
    </row>
    <row r="19" spans="1:12" x14ac:dyDescent="0.3">
      <c r="A19" s="16" t="s">
        <v>72</v>
      </c>
      <c r="B19" s="18">
        <v>45369</v>
      </c>
      <c r="C19" s="20">
        <f>YEAR(SalesTable[[#This Row],[Date]])</f>
        <v>2024</v>
      </c>
      <c r="D19" s="16" t="s">
        <v>63</v>
      </c>
      <c r="E19" s="16" t="s">
        <v>12</v>
      </c>
      <c r="F19" s="16">
        <v>7</v>
      </c>
      <c r="G19" s="16">
        <v>3806.56</v>
      </c>
      <c r="H19" s="16">
        <f>SalesTable[[#This Row],[Quantity]] * SalesTable[[#This Row],[UnitPrice]]</f>
        <v>26645.919999999998</v>
      </c>
      <c r="I19" s="16" t="s">
        <v>56</v>
      </c>
      <c r="J19" s="16" t="s">
        <v>57</v>
      </c>
      <c r="K19" s="16" t="str">
        <f>RIGHT(SalesTable[[#This Row],[Email]], LEN(SalesTable[[#This Row],[Email]]) - FIND("@", SalesTable[[#This Row],[Email]]))</f>
        <v>egypt.com</v>
      </c>
      <c r="L19" s="16" t="s">
        <v>73</v>
      </c>
    </row>
    <row r="20" spans="1:12" x14ac:dyDescent="0.3">
      <c r="A20" s="16" t="s">
        <v>74</v>
      </c>
      <c r="B20" s="18">
        <v>45567</v>
      </c>
      <c r="C20" s="20">
        <f>YEAR(SalesTable[[#This Row],[Date]])</f>
        <v>2024</v>
      </c>
      <c r="D20" s="16" t="s">
        <v>63</v>
      </c>
      <c r="E20" s="16" t="s">
        <v>12</v>
      </c>
      <c r="F20" s="16">
        <v>10</v>
      </c>
      <c r="G20" s="16">
        <v>4537.55</v>
      </c>
      <c r="H20" s="16">
        <f>SalesTable[[#This Row],[Quantity]] * SalesTable[[#This Row],[UnitPrice]]</f>
        <v>45375.5</v>
      </c>
      <c r="I20" s="16" t="s">
        <v>47</v>
      </c>
      <c r="J20" s="16" t="s">
        <v>48</v>
      </c>
      <c r="K20" s="16" t="str">
        <f>RIGHT(SalesTable[[#This Row],[Email]], LEN(SalesTable[[#This Row],[Email]]) - FIND("@", SalesTable[[#This Row],[Email]]))</f>
        <v>egypt.com</v>
      </c>
      <c r="L20" s="16" t="s">
        <v>75</v>
      </c>
    </row>
    <row r="21" spans="1:12" x14ac:dyDescent="0.3">
      <c r="A21" s="16" t="s">
        <v>76</v>
      </c>
      <c r="B21" s="18">
        <v>45433</v>
      </c>
      <c r="C21" s="20">
        <f>YEAR(SalesTable[[#This Row],[Date]])</f>
        <v>2024</v>
      </c>
      <c r="D21" s="16" t="s">
        <v>11</v>
      </c>
      <c r="E21" s="16" t="s">
        <v>12</v>
      </c>
      <c r="F21" s="16">
        <v>5</v>
      </c>
      <c r="G21" s="16">
        <v>3029.76</v>
      </c>
      <c r="H21" s="16">
        <f>SalesTable[[#This Row],[Quantity]] * SalesTable[[#This Row],[UnitPrice]]</f>
        <v>15148.800000000001</v>
      </c>
      <c r="I21" s="16" t="s">
        <v>77</v>
      </c>
      <c r="J21" s="16" t="s">
        <v>78</v>
      </c>
      <c r="K21" s="16" t="str">
        <f>RIGHT(SalesTable[[#This Row],[Email]], LEN(SalesTable[[#This Row],[Email]]) - FIND("@", SalesTable[[#This Row],[Email]]))</f>
        <v>egypt.com</v>
      </c>
      <c r="L21" s="16" t="s">
        <v>71</v>
      </c>
    </row>
    <row r="22" spans="1:12" x14ac:dyDescent="0.3">
      <c r="A22" s="16" t="s">
        <v>79</v>
      </c>
      <c r="B22" s="18">
        <v>45649</v>
      </c>
      <c r="C22" s="20">
        <f>YEAR(SalesTable[[#This Row],[Date]])</f>
        <v>2024</v>
      </c>
      <c r="D22" s="16" t="s">
        <v>80</v>
      </c>
      <c r="E22" s="16" t="s">
        <v>12</v>
      </c>
      <c r="F22" s="16">
        <v>9</v>
      </c>
      <c r="G22" s="16">
        <v>2876.69</v>
      </c>
      <c r="H22" s="16">
        <f>SalesTable[[#This Row],[Quantity]] * SalesTable[[#This Row],[UnitPrice]]</f>
        <v>25890.21</v>
      </c>
      <c r="I22" s="16" t="s">
        <v>13</v>
      </c>
      <c r="J22" s="16" t="s">
        <v>14</v>
      </c>
      <c r="K22" s="16" t="str">
        <f>RIGHT(SalesTable[[#This Row],[Email]], LEN(SalesTable[[#This Row],[Email]]) - FIND("@", SalesTable[[#This Row],[Email]]))</f>
        <v>egypt.com</v>
      </c>
      <c r="L22" s="16" t="s">
        <v>81</v>
      </c>
    </row>
    <row r="23" spans="1:12" x14ac:dyDescent="0.3">
      <c r="A23" s="16" t="s">
        <v>82</v>
      </c>
      <c r="B23" s="18">
        <v>45376</v>
      </c>
      <c r="C23" s="20">
        <f>YEAR(SalesTable[[#This Row],[Date]])</f>
        <v>2024</v>
      </c>
      <c r="D23" s="16" t="s">
        <v>83</v>
      </c>
      <c r="E23" s="16" t="s">
        <v>18</v>
      </c>
      <c r="F23" s="16">
        <v>6</v>
      </c>
      <c r="G23" s="16">
        <v>1447.88</v>
      </c>
      <c r="H23" s="16">
        <f>SalesTable[[#This Row],[Quantity]] * SalesTable[[#This Row],[UnitPrice]]</f>
        <v>8687.2800000000007</v>
      </c>
      <c r="I23" s="16" t="s">
        <v>84</v>
      </c>
      <c r="J23" s="16" t="s">
        <v>85</v>
      </c>
      <c r="K23" s="16" t="str">
        <f>RIGHT(SalesTable[[#This Row],[Email]], LEN(SalesTable[[#This Row],[Email]]) - FIND("@", SalesTable[[#This Row],[Email]]))</f>
        <v>egypt.com</v>
      </c>
      <c r="L23" s="16" t="s">
        <v>61</v>
      </c>
    </row>
    <row r="24" spans="1:12" x14ac:dyDescent="0.3">
      <c r="A24" s="16" t="s">
        <v>86</v>
      </c>
      <c r="B24" s="18">
        <v>45343</v>
      </c>
      <c r="C24" s="20">
        <f>YEAR(SalesTable[[#This Row],[Date]])</f>
        <v>2024</v>
      </c>
      <c r="D24" s="16" t="s">
        <v>17</v>
      </c>
      <c r="E24" s="16" t="s">
        <v>18</v>
      </c>
      <c r="F24" s="16">
        <v>5</v>
      </c>
      <c r="G24" s="16">
        <v>4001.52</v>
      </c>
      <c r="H24" s="16">
        <f>SalesTable[[#This Row],[Quantity]] * SalesTable[[#This Row],[UnitPrice]]</f>
        <v>20007.599999999999</v>
      </c>
      <c r="I24" s="16" t="s">
        <v>47</v>
      </c>
      <c r="J24" s="16" t="s">
        <v>48</v>
      </c>
      <c r="K24" s="16" t="str">
        <f>RIGHT(SalesTable[[#This Row],[Email]], LEN(SalesTable[[#This Row],[Email]]) - FIND("@", SalesTable[[#This Row],[Email]]))</f>
        <v>egypt.com</v>
      </c>
      <c r="L24" s="16" t="s">
        <v>53</v>
      </c>
    </row>
    <row r="25" spans="1:12" x14ac:dyDescent="0.3">
      <c r="A25" s="16" t="s">
        <v>87</v>
      </c>
      <c r="B25" s="18">
        <v>45561</v>
      </c>
      <c r="C25" s="20">
        <f>YEAR(SalesTable[[#This Row],[Date]])</f>
        <v>2024</v>
      </c>
      <c r="D25" s="16" t="s">
        <v>17</v>
      </c>
      <c r="E25" s="16" t="s">
        <v>18</v>
      </c>
      <c r="F25" s="16">
        <v>6</v>
      </c>
      <c r="G25" s="16">
        <v>1301.79</v>
      </c>
      <c r="H25" s="16">
        <f>SalesTable[[#This Row],[Quantity]] * SalesTable[[#This Row],[UnitPrice]]</f>
        <v>7810.74</v>
      </c>
      <c r="I25" s="16" t="s">
        <v>88</v>
      </c>
      <c r="J25" s="16" t="s">
        <v>89</v>
      </c>
      <c r="K25" s="16" t="str">
        <f>RIGHT(SalesTable[[#This Row],[Email]], LEN(SalesTable[[#This Row],[Email]]) - FIND("@", SalesTable[[#This Row],[Email]]))</f>
        <v>egypt.com</v>
      </c>
      <c r="L25" s="16" t="s">
        <v>73</v>
      </c>
    </row>
    <row r="26" spans="1:12" x14ac:dyDescent="0.3">
      <c r="A26" s="16" t="s">
        <v>90</v>
      </c>
      <c r="B26" s="18">
        <v>45372</v>
      </c>
      <c r="C26" s="20">
        <f>YEAR(SalesTable[[#This Row],[Date]])</f>
        <v>2024</v>
      </c>
      <c r="D26" s="16" t="s">
        <v>91</v>
      </c>
      <c r="E26" s="16" t="s">
        <v>18</v>
      </c>
      <c r="F26" s="16">
        <v>3</v>
      </c>
      <c r="G26" s="16">
        <v>1495.31</v>
      </c>
      <c r="H26" s="16">
        <f>SalesTable[[#This Row],[Quantity]] * SalesTable[[#This Row],[UnitPrice]]</f>
        <v>4485.93</v>
      </c>
      <c r="I26" s="16" t="s">
        <v>24</v>
      </c>
      <c r="J26" s="16" t="s">
        <v>25</v>
      </c>
      <c r="K26" s="16" t="str">
        <f>RIGHT(SalesTable[[#This Row],[Email]], LEN(SalesTable[[#This Row],[Email]]) - FIND("@", SalesTable[[#This Row],[Email]]))</f>
        <v>egypt.com</v>
      </c>
      <c r="L26" s="16" t="s">
        <v>45</v>
      </c>
    </row>
    <row r="27" spans="1:12" x14ac:dyDescent="0.3">
      <c r="A27" s="16" t="s">
        <v>92</v>
      </c>
      <c r="B27" s="18">
        <v>45427</v>
      </c>
      <c r="C27" s="20">
        <f>YEAR(SalesTable[[#This Row],[Date]])</f>
        <v>2024</v>
      </c>
      <c r="D27" s="16" t="s">
        <v>23</v>
      </c>
      <c r="E27" s="16" t="s">
        <v>12</v>
      </c>
      <c r="F27" s="16">
        <v>3</v>
      </c>
      <c r="G27" s="16">
        <v>617.83000000000004</v>
      </c>
      <c r="H27" s="16">
        <f>SalesTable[[#This Row],[Quantity]] * SalesTable[[#This Row],[UnitPrice]]</f>
        <v>1853.4900000000002</v>
      </c>
      <c r="I27" s="16" t="s">
        <v>33</v>
      </c>
      <c r="J27" s="16" t="s">
        <v>34</v>
      </c>
      <c r="K27" s="16" t="str">
        <f>RIGHT(SalesTable[[#This Row],[Email]], LEN(SalesTable[[#This Row],[Email]]) - FIND("@", SalesTable[[#This Row],[Email]]))</f>
        <v>egypt.com</v>
      </c>
      <c r="L27" s="16" t="s">
        <v>93</v>
      </c>
    </row>
    <row r="28" spans="1:12" x14ac:dyDescent="0.3">
      <c r="A28" s="16" t="s">
        <v>94</v>
      </c>
      <c r="B28" s="18">
        <v>45450</v>
      </c>
      <c r="C28" s="20">
        <f>YEAR(SalesTable[[#This Row],[Date]])</f>
        <v>2024</v>
      </c>
      <c r="D28" s="16" t="s">
        <v>23</v>
      </c>
      <c r="E28" s="16" t="s">
        <v>12</v>
      </c>
      <c r="F28" s="16">
        <v>10</v>
      </c>
      <c r="G28" s="16">
        <v>4382.96</v>
      </c>
      <c r="H28" s="16">
        <f>SalesTable[[#This Row],[Quantity]] * SalesTable[[#This Row],[UnitPrice]]</f>
        <v>43829.599999999999</v>
      </c>
      <c r="I28" s="16" t="s">
        <v>95</v>
      </c>
      <c r="J28" s="16" t="s">
        <v>96</v>
      </c>
      <c r="K28" s="16" t="str">
        <f>RIGHT(SalesTable[[#This Row],[Email]], LEN(SalesTable[[#This Row],[Email]]) - FIND("@", SalesTable[[#This Row],[Email]]))</f>
        <v>egypt.com</v>
      </c>
      <c r="L28" s="16" t="s">
        <v>97</v>
      </c>
    </row>
    <row r="29" spans="1:12" x14ac:dyDescent="0.3">
      <c r="A29" s="16" t="s">
        <v>98</v>
      </c>
      <c r="B29" s="18">
        <v>45648</v>
      </c>
      <c r="C29" s="20">
        <f>YEAR(SalesTable[[#This Row],[Date]])</f>
        <v>2024</v>
      </c>
      <c r="D29" s="16" t="s">
        <v>50</v>
      </c>
      <c r="E29" s="16" t="s">
        <v>18</v>
      </c>
      <c r="F29" s="16">
        <v>8</v>
      </c>
      <c r="G29" s="16">
        <v>264.26</v>
      </c>
      <c r="H29" s="16">
        <f>SalesTable[[#This Row],[Quantity]] * SalesTable[[#This Row],[UnitPrice]]</f>
        <v>2114.08</v>
      </c>
      <c r="I29" s="16" t="s">
        <v>99</v>
      </c>
      <c r="J29" s="16" t="s">
        <v>100</v>
      </c>
      <c r="K29" s="16" t="str">
        <f>RIGHT(SalesTable[[#This Row],[Email]], LEN(SalesTable[[#This Row],[Email]]) - FIND("@", SalesTable[[#This Row],[Email]]))</f>
        <v>egypt.com</v>
      </c>
      <c r="L29" s="16" t="s">
        <v>101</v>
      </c>
    </row>
    <row r="30" spans="1:12" x14ac:dyDescent="0.3">
      <c r="A30" s="16" t="s">
        <v>102</v>
      </c>
      <c r="B30" s="18">
        <v>45553</v>
      </c>
      <c r="C30" s="20">
        <f>YEAR(SalesTable[[#This Row],[Date]])</f>
        <v>2024</v>
      </c>
      <c r="D30" s="16" t="s">
        <v>28</v>
      </c>
      <c r="E30" s="16" t="s">
        <v>12</v>
      </c>
      <c r="F30" s="16">
        <v>8</v>
      </c>
      <c r="G30" s="16">
        <v>2565.2199999999998</v>
      </c>
      <c r="H30" s="16">
        <f>SalesTable[[#This Row],[Quantity]] * SalesTable[[#This Row],[UnitPrice]]</f>
        <v>20521.759999999998</v>
      </c>
      <c r="I30" s="16" t="s">
        <v>56</v>
      </c>
      <c r="J30" s="16" t="s">
        <v>57</v>
      </c>
      <c r="K30" s="16" t="str">
        <f>RIGHT(SalesTable[[#This Row],[Email]], LEN(SalesTable[[#This Row],[Email]]) - FIND("@", SalesTable[[#This Row],[Email]]))</f>
        <v>egypt.com</v>
      </c>
      <c r="L30" s="16" t="s">
        <v>71</v>
      </c>
    </row>
    <row r="31" spans="1:12" x14ac:dyDescent="0.3">
      <c r="A31" s="16" t="s">
        <v>103</v>
      </c>
      <c r="B31" s="18">
        <v>45604</v>
      </c>
      <c r="C31" s="20">
        <f>YEAR(SalesTable[[#This Row],[Date]])</f>
        <v>2024</v>
      </c>
      <c r="D31" s="16" t="s">
        <v>37</v>
      </c>
      <c r="E31" s="16" t="s">
        <v>12</v>
      </c>
      <c r="F31" s="16">
        <v>7</v>
      </c>
      <c r="G31" s="16">
        <v>380.05</v>
      </c>
      <c r="H31" s="16">
        <f>SalesTable[[#This Row],[Quantity]] * SalesTable[[#This Row],[UnitPrice]]</f>
        <v>2660.35</v>
      </c>
      <c r="I31" s="16" t="s">
        <v>104</v>
      </c>
      <c r="J31" s="16" t="s">
        <v>105</v>
      </c>
      <c r="K31" s="16" t="str">
        <f>RIGHT(SalesTable[[#This Row],[Email]], LEN(SalesTable[[#This Row],[Email]]) - FIND("@", SalesTable[[#This Row],[Email]]))</f>
        <v>egypt.com</v>
      </c>
      <c r="L31" s="16" t="s">
        <v>21</v>
      </c>
    </row>
    <row r="32" spans="1:12" x14ac:dyDescent="0.3">
      <c r="A32" s="16" t="s">
        <v>106</v>
      </c>
      <c r="B32" s="18">
        <v>45410</v>
      </c>
      <c r="C32" s="20">
        <f>YEAR(SalesTable[[#This Row],[Date]])</f>
        <v>2024</v>
      </c>
      <c r="D32" s="16" t="s">
        <v>17</v>
      </c>
      <c r="E32" s="16" t="s">
        <v>18</v>
      </c>
      <c r="F32" s="16">
        <v>1</v>
      </c>
      <c r="G32" s="16">
        <v>4863.92</v>
      </c>
      <c r="H32" s="16">
        <f>SalesTable[[#This Row],[Quantity]] * SalesTable[[#This Row],[UnitPrice]]</f>
        <v>4863.92</v>
      </c>
      <c r="I32" s="16" t="s">
        <v>33</v>
      </c>
      <c r="J32" s="16" t="s">
        <v>34</v>
      </c>
      <c r="K32" s="16" t="str">
        <f>RIGHT(SalesTable[[#This Row],[Email]], LEN(SalesTable[[#This Row],[Email]]) - FIND("@", SalesTable[[#This Row],[Email]]))</f>
        <v>egypt.com</v>
      </c>
      <c r="L32" s="16" t="s">
        <v>73</v>
      </c>
    </row>
    <row r="33" spans="1:12" x14ac:dyDescent="0.3">
      <c r="A33" s="16" t="s">
        <v>107</v>
      </c>
      <c r="B33" s="18">
        <v>45433</v>
      </c>
      <c r="C33" s="20">
        <f>YEAR(SalesTable[[#This Row],[Date]])</f>
        <v>2024</v>
      </c>
      <c r="D33" s="16" t="s">
        <v>17</v>
      </c>
      <c r="E33" s="16" t="s">
        <v>18</v>
      </c>
      <c r="F33" s="16">
        <v>8</v>
      </c>
      <c r="G33" s="16">
        <v>1196.06</v>
      </c>
      <c r="H33" s="16">
        <f>SalesTable[[#This Row],[Quantity]] * SalesTable[[#This Row],[UnitPrice]]</f>
        <v>9568.48</v>
      </c>
      <c r="I33" s="16" t="s">
        <v>29</v>
      </c>
      <c r="J33" s="16" t="s">
        <v>30</v>
      </c>
      <c r="K33" s="16" t="str">
        <f>RIGHT(SalesTable[[#This Row],[Email]], LEN(SalesTable[[#This Row],[Email]]) - FIND("@", SalesTable[[#This Row],[Email]]))</f>
        <v>egypt.com</v>
      </c>
      <c r="L33" s="16" t="s">
        <v>69</v>
      </c>
    </row>
    <row r="34" spans="1:12" x14ac:dyDescent="0.3">
      <c r="A34" s="16" t="s">
        <v>108</v>
      </c>
      <c r="B34" s="18">
        <v>45636</v>
      </c>
      <c r="C34" s="20">
        <f>YEAR(SalesTable[[#This Row],[Date]])</f>
        <v>2024</v>
      </c>
      <c r="D34" s="16" t="s">
        <v>50</v>
      </c>
      <c r="E34" s="16" t="s">
        <v>18</v>
      </c>
      <c r="F34" s="16">
        <v>2</v>
      </c>
      <c r="G34" s="16">
        <v>4018.24</v>
      </c>
      <c r="H34" s="16">
        <f>SalesTable[[#This Row],[Quantity]] * SalesTable[[#This Row],[UnitPrice]]</f>
        <v>8036.48</v>
      </c>
      <c r="I34" s="16" t="s">
        <v>109</v>
      </c>
      <c r="J34" s="16" t="s">
        <v>110</v>
      </c>
      <c r="K34" s="16" t="str">
        <f>RIGHT(SalesTable[[#This Row],[Email]], LEN(SalesTable[[#This Row],[Email]]) - FIND("@", SalesTable[[#This Row],[Email]]))</f>
        <v>egypt.com</v>
      </c>
      <c r="L34" s="16" t="s">
        <v>45</v>
      </c>
    </row>
    <row r="35" spans="1:12" x14ac:dyDescent="0.3">
      <c r="A35" s="16" t="s">
        <v>111</v>
      </c>
      <c r="B35" s="18">
        <v>45644</v>
      </c>
      <c r="C35" s="20">
        <f>YEAR(SalesTable[[#This Row],[Date]])</f>
        <v>2024</v>
      </c>
      <c r="D35" s="16" t="s">
        <v>112</v>
      </c>
      <c r="E35" s="16" t="s">
        <v>18</v>
      </c>
      <c r="F35" s="16">
        <v>3</v>
      </c>
      <c r="G35" s="16">
        <v>2979.43</v>
      </c>
      <c r="H35" s="16">
        <f>SalesTable[[#This Row],[Quantity]] * SalesTable[[#This Row],[UnitPrice]]</f>
        <v>8938.2899999999991</v>
      </c>
      <c r="I35" s="16" t="s">
        <v>38</v>
      </c>
      <c r="J35" s="16" t="s">
        <v>39</v>
      </c>
      <c r="K35" s="16" t="str">
        <f>RIGHT(SalesTable[[#This Row],[Email]], LEN(SalesTable[[#This Row],[Email]]) - FIND("@", SalesTable[[#This Row],[Email]]))</f>
        <v>egypt.com</v>
      </c>
      <c r="L35" s="16" t="s">
        <v>93</v>
      </c>
    </row>
    <row r="36" spans="1:12" x14ac:dyDescent="0.3">
      <c r="A36" s="16" t="s">
        <v>113</v>
      </c>
      <c r="B36" s="18">
        <v>45563</v>
      </c>
      <c r="C36" s="20">
        <f>YEAR(SalesTable[[#This Row],[Date]])</f>
        <v>2024</v>
      </c>
      <c r="D36" s="16" t="s">
        <v>83</v>
      </c>
      <c r="E36" s="16" t="s">
        <v>18</v>
      </c>
      <c r="F36" s="16">
        <v>1</v>
      </c>
      <c r="G36" s="16">
        <v>3301.17</v>
      </c>
      <c r="H36" s="16">
        <f>SalesTable[[#This Row],[Quantity]] * SalesTable[[#This Row],[UnitPrice]]</f>
        <v>3301.17</v>
      </c>
      <c r="I36" s="16" t="s">
        <v>38</v>
      </c>
      <c r="J36" s="16" t="s">
        <v>39</v>
      </c>
      <c r="K36" s="16" t="str">
        <f>RIGHT(SalesTable[[#This Row],[Email]], LEN(SalesTable[[#This Row],[Email]]) - FIND("@", SalesTable[[#This Row],[Email]]))</f>
        <v>egypt.com</v>
      </c>
      <c r="L36" s="16" t="s">
        <v>15</v>
      </c>
    </row>
    <row r="37" spans="1:12" x14ac:dyDescent="0.3">
      <c r="A37" s="16" t="s">
        <v>114</v>
      </c>
      <c r="B37" s="18">
        <v>45361</v>
      </c>
      <c r="C37" s="20">
        <f>YEAR(SalesTable[[#This Row],[Date]])</f>
        <v>2024</v>
      </c>
      <c r="D37" s="16" t="s">
        <v>63</v>
      </c>
      <c r="E37" s="16" t="s">
        <v>12</v>
      </c>
      <c r="F37" s="16">
        <v>1</v>
      </c>
      <c r="G37" s="16">
        <v>4598.1400000000003</v>
      </c>
      <c r="H37" s="16">
        <f>SalesTable[[#This Row],[Quantity]] * SalesTable[[#This Row],[UnitPrice]]</f>
        <v>4598.1400000000003</v>
      </c>
      <c r="I37" s="16" t="s">
        <v>19</v>
      </c>
      <c r="J37" s="16" t="s">
        <v>20</v>
      </c>
      <c r="K37" s="16" t="str">
        <f>RIGHT(SalesTable[[#This Row],[Email]], LEN(SalesTable[[#This Row],[Email]]) - FIND("@", SalesTable[[#This Row],[Email]]))</f>
        <v>egypt.com</v>
      </c>
      <c r="L37" s="16" t="s">
        <v>71</v>
      </c>
    </row>
    <row r="38" spans="1:12" x14ac:dyDescent="0.3">
      <c r="A38" s="16" t="s">
        <v>115</v>
      </c>
      <c r="B38" s="18">
        <v>45298</v>
      </c>
      <c r="C38" s="20">
        <f>YEAR(SalesTable[[#This Row],[Date]])</f>
        <v>2024</v>
      </c>
      <c r="D38" s="16" t="s">
        <v>50</v>
      </c>
      <c r="E38" s="16" t="s">
        <v>18</v>
      </c>
      <c r="F38" s="16">
        <v>8</v>
      </c>
      <c r="G38" s="16">
        <v>1004.12</v>
      </c>
      <c r="H38" s="16">
        <f>SalesTable[[#This Row],[Quantity]] * SalesTable[[#This Row],[UnitPrice]]</f>
        <v>8032.96</v>
      </c>
      <c r="I38" s="16" t="s">
        <v>13</v>
      </c>
      <c r="J38" s="16" t="s">
        <v>14</v>
      </c>
      <c r="K38" s="16" t="str">
        <f>RIGHT(SalesTable[[#This Row],[Email]], LEN(SalesTable[[#This Row],[Email]]) - FIND("@", SalesTable[[#This Row],[Email]]))</f>
        <v>egypt.com</v>
      </c>
      <c r="L38" s="16" t="s">
        <v>21</v>
      </c>
    </row>
    <row r="39" spans="1:12" x14ac:dyDescent="0.3">
      <c r="A39" s="16" t="s">
        <v>116</v>
      </c>
      <c r="B39" s="18">
        <v>45342</v>
      </c>
      <c r="C39" s="20">
        <f>YEAR(SalesTable[[#This Row],[Date]])</f>
        <v>2024</v>
      </c>
      <c r="D39" s="16" t="s">
        <v>112</v>
      </c>
      <c r="E39" s="16" t="s">
        <v>18</v>
      </c>
      <c r="F39" s="16">
        <v>5</v>
      </c>
      <c r="G39" s="16">
        <v>228.08</v>
      </c>
      <c r="H39" s="16">
        <f>SalesTable[[#This Row],[Quantity]] * SalesTable[[#This Row],[UnitPrice]]</f>
        <v>1140.4000000000001</v>
      </c>
      <c r="I39" s="16" t="s">
        <v>64</v>
      </c>
      <c r="J39" s="16" t="s">
        <v>65</v>
      </c>
      <c r="K39" s="16" t="str">
        <f>RIGHT(SalesTable[[#This Row],[Email]], LEN(SalesTable[[#This Row],[Email]]) - FIND("@", SalesTable[[#This Row],[Email]]))</f>
        <v>egypt.com</v>
      </c>
      <c r="L39" s="16" t="s">
        <v>40</v>
      </c>
    </row>
    <row r="40" spans="1:12" x14ac:dyDescent="0.3">
      <c r="A40" s="16" t="s">
        <v>117</v>
      </c>
      <c r="B40" s="18">
        <v>45318</v>
      </c>
      <c r="C40" s="20">
        <f>YEAR(SalesTable[[#This Row],[Date]])</f>
        <v>2024</v>
      </c>
      <c r="D40" s="16" t="s">
        <v>91</v>
      </c>
      <c r="E40" s="16" t="s">
        <v>18</v>
      </c>
      <c r="F40" s="16">
        <v>1</v>
      </c>
      <c r="G40" s="16">
        <v>206.44</v>
      </c>
      <c r="H40" s="16">
        <f>SalesTable[[#This Row],[Quantity]] * SalesTable[[#This Row],[UnitPrice]]</f>
        <v>206.44</v>
      </c>
      <c r="I40" s="16" t="s">
        <v>56</v>
      </c>
      <c r="J40" s="16" t="s">
        <v>57</v>
      </c>
      <c r="K40" s="16" t="str">
        <f>RIGHT(SalesTable[[#This Row],[Email]], LEN(SalesTable[[#This Row],[Email]]) - FIND("@", SalesTable[[#This Row],[Email]]))</f>
        <v>egypt.com</v>
      </c>
      <c r="L40" s="16" t="s">
        <v>93</v>
      </c>
    </row>
    <row r="41" spans="1:12" x14ac:dyDescent="0.3">
      <c r="A41" s="16" t="s">
        <v>118</v>
      </c>
      <c r="B41" s="18">
        <v>45634</v>
      </c>
      <c r="C41" s="20">
        <f>YEAR(SalesTable[[#This Row],[Date]])</f>
        <v>2024</v>
      </c>
      <c r="D41" s="16" t="s">
        <v>50</v>
      </c>
      <c r="E41" s="16" t="s">
        <v>18</v>
      </c>
      <c r="F41" s="16">
        <v>9</v>
      </c>
      <c r="G41" s="16">
        <v>4574.13</v>
      </c>
      <c r="H41" s="16">
        <f>SalesTable[[#This Row],[Quantity]] * SalesTable[[#This Row],[UnitPrice]]</f>
        <v>41167.17</v>
      </c>
      <c r="I41" s="16" t="s">
        <v>64</v>
      </c>
      <c r="J41" s="16" t="s">
        <v>65</v>
      </c>
      <c r="K41" s="16" t="str">
        <f>RIGHT(SalesTable[[#This Row],[Email]], LEN(SalesTable[[#This Row],[Email]]) - FIND("@", SalesTable[[#This Row],[Email]]))</f>
        <v>egypt.com</v>
      </c>
      <c r="L41" s="16" t="s">
        <v>53</v>
      </c>
    </row>
    <row r="42" spans="1:12" x14ac:dyDescent="0.3">
      <c r="A42" s="16" t="s">
        <v>119</v>
      </c>
      <c r="B42" s="18">
        <v>45496</v>
      </c>
      <c r="C42" s="20">
        <f>YEAR(SalesTable[[#This Row],[Date]])</f>
        <v>2024</v>
      </c>
      <c r="D42" s="16" t="s">
        <v>91</v>
      </c>
      <c r="E42" s="16" t="s">
        <v>18</v>
      </c>
      <c r="F42" s="16">
        <v>9</v>
      </c>
      <c r="G42" s="16">
        <v>4418.74</v>
      </c>
      <c r="H42" s="16">
        <f>SalesTable[[#This Row],[Quantity]] * SalesTable[[#This Row],[UnitPrice]]</f>
        <v>39768.659999999996</v>
      </c>
      <c r="I42" s="16" t="s">
        <v>29</v>
      </c>
      <c r="J42" s="16" t="s">
        <v>30</v>
      </c>
      <c r="K42" s="16" t="str">
        <f>RIGHT(SalesTable[[#This Row],[Email]], LEN(SalesTable[[#This Row],[Email]]) - FIND("@", SalesTable[[#This Row],[Email]]))</f>
        <v>egypt.com</v>
      </c>
      <c r="L42" s="16" t="s">
        <v>93</v>
      </c>
    </row>
    <row r="43" spans="1:12" x14ac:dyDescent="0.3">
      <c r="A43" s="16" t="s">
        <v>120</v>
      </c>
      <c r="B43" s="18">
        <v>45301</v>
      </c>
      <c r="C43" s="20">
        <f>YEAR(SalesTable[[#This Row],[Date]])</f>
        <v>2024</v>
      </c>
      <c r="D43" s="16" t="s">
        <v>17</v>
      </c>
      <c r="E43" s="16" t="s">
        <v>18</v>
      </c>
      <c r="F43" s="16">
        <v>1</v>
      </c>
      <c r="G43" s="16">
        <v>1144.9000000000001</v>
      </c>
      <c r="H43" s="16">
        <f>SalesTable[[#This Row],[Quantity]] * SalesTable[[#This Row],[UnitPrice]]</f>
        <v>1144.9000000000001</v>
      </c>
      <c r="I43" s="16" t="s">
        <v>104</v>
      </c>
      <c r="J43" s="16" t="s">
        <v>105</v>
      </c>
      <c r="K43" s="16" t="str">
        <f>RIGHT(SalesTable[[#This Row],[Email]], LEN(SalesTable[[#This Row],[Email]]) - FIND("@", SalesTable[[#This Row],[Email]]))</f>
        <v>egypt.com</v>
      </c>
      <c r="L43" s="16" t="s">
        <v>121</v>
      </c>
    </row>
    <row r="44" spans="1:12" x14ac:dyDescent="0.3">
      <c r="A44" s="16" t="s">
        <v>122</v>
      </c>
      <c r="B44" s="18">
        <v>45603</v>
      </c>
      <c r="C44" s="20">
        <f>YEAR(SalesTable[[#This Row],[Date]])</f>
        <v>2024</v>
      </c>
      <c r="D44" s="16" t="s">
        <v>37</v>
      </c>
      <c r="E44" s="16" t="s">
        <v>12</v>
      </c>
      <c r="F44" s="16">
        <v>2</v>
      </c>
      <c r="G44" s="16">
        <v>119.96</v>
      </c>
      <c r="H44" s="16">
        <f>SalesTable[[#This Row],[Quantity]] * SalesTable[[#This Row],[UnitPrice]]</f>
        <v>239.92</v>
      </c>
      <c r="I44" s="16" t="s">
        <v>43</v>
      </c>
      <c r="J44" s="16" t="s">
        <v>44</v>
      </c>
      <c r="K44" s="16" t="str">
        <f>RIGHT(SalesTable[[#This Row],[Email]], LEN(SalesTable[[#This Row],[Email]]) - FIND("@", SalesTable[[#This Row],[Email]]))</f>
        <v>egypt.com</v>
      </c>
      <c r="L44" s="16" t="s">
        <v>66</v>
      </c>
    </row>
    <row r="45" spans="1:12" x14ac:dyDescent="0.3">
      <c r="A45" s="16" t="s">
        <v>123</v>
      </c>
      <c r="B45" s="18">
        <v>45616</v>
      </c>
      <c r="C45" s="20">
        <f>YEAR(SalesTable[[#This Row],[Date]])</f>
        <v>2024</v>
      </c>
      <c r="D45" s="16" t="s">
        <v>23</v>
      </c>
      <c r="E45" s="16" t="s">
        <v>12</v>
      </c>
      <c r="F45" s="16">
        <v>3</v>
      </c>
      <c r="G45" s="16">
        <v>3148.02</v>
      </c>
      <c r="H45" s="16">
        <f>SalesTable[[#This Row],[Quantity]] * SalesTable[[#This Row],[UnitPrice]]</f>
        <v>9444.06</v>
      </c>
      <c r="I45" s="16" t="s">
        <v>19</v>
      </c>
      <c r="J45" s="16" t="s">
        <v>20</v>
      </c>
      <c r="K45" s="16" t="str">
        <f>RIGHT(SalesTable[[#This Row],[Email]], LEN(SalesTable[[#This Row],[Email]]) - FIND("@", SalesTable[[#This Row],[Email]]))</f>
        <v>egypt.com</v>
      </c>
      <c r="L45" s="16" t="s">
        <v>71</v>
      </c>
    </row>
    <row r="46" spans="1:12" x14ac:dyDescent="0.3">
      <c r="A46" s="16" t="s">
        <v>124</v>
      </c>
      <c r="B46" s="18">
        <v>45385</v>
      </c>
      <c r="C46" s="20">
        <f>YEAR(SalesTable[[#This Row],[Date]])</f>
        <v>2024</v>
      </c>
      <c r="D46" s="16" t="s">
        <v>63</v>
      </c>
      <c r="E46" s="16" t="s">
        <v>12</v>
      </c>
      <c r="F46" s="16">
        <v>10</v>
      </c>
      <c r="G46" s="16">
        <v>4095.63</v>
      </c>
      <c r="H46" s="16">
        <f>SalesTable[[#This Row],[Quantity]] * SalesTable[[#This Row],[UnitPrice]]</f>
        <v>40956.300000000003</v>
      </c>
      <c r="I46" s="16" t="s">
        <v>29</v>
      </c>
      <c r="J46" s="16" t="s">
        <v>30</v>
      </c>
      <c r="K46" s="16" t="str">
        <f>RIGHT(SalesTable[[#This Row],[Email]], LEN(SalesTable[[#This Row],[Email]]) - FIND("@", SalesTable[[#This Row],[Email]]))</f>
        <v>egypt.com</v>
      </c>
      <c r="L46" s="16" t="s">
        <v>75</v>
      </c>
    </row>
    <row r="47" spans="1:12" x14ac:dyDescent="0.3">
      <c r="A47" s="16" t="s">
        <v>125</v>
      </c>
      <c r="B47" s="18">
        <v>45605</v>
      </c>
      <c r="C47" s="20">
        <f>YEAR(SalesTable[[#This Row],[Date]])</f>
        <v>2024</v>
      </c>
      <c r="D47" s="16" t="s">
        <v>50</v>
      </c>
      <c r="E47" s="16" t="s">
        <v>18</v>
      </c>
      <c r="F47" s="16">
        <v>5</v>
      </c>
      <c r="G47" s="16">
        <v>3638.25</v>
      </c>
      <c r="H47" s="16">
        <f>SalesTable[[#This Row],[Quantity]] * SalesTable[[#This Row],[UnitPrice]]</f>
        <v>18191.25</v>
      </c>
      <c r="I47" s="16" t="s">
        <v>19</v>
      </c>
      <c r="J47" s="16" t="s">
        <v>20</v>
      </c>
      <c r="K47" s="16" t="str">
        <f>RIGHT(SalesTable[[#This Row],[Email]], LEN(SalesTable[[#This Row],[Email]]) - FIND("@", SalesTable[[#This Row],[Email]]))</f>
        <v>egypt.com</v>
      </c>
      <c r="L47" s="16" t="s">
        <v>101</v>
      </c>
    </row>
    <row r="48" spans="1:12" x14ac:dyDescent="0.3">
      <c r="A48" s="16" t="s">
        <v>126</v>
      </c>
      <c r="B48" s="18">
        <v>45534</v>
      </c>
      <c r="C48" s="20">
        <f>YEAR(SalesTable[[#This Row],[Date]])</f>
        <v>2024</v>
      </c>
      <c r="D48" s="16" t="s">
        <v>80</v>
      </c>
      <c r="E48" s="16" t="s">
        <v>12</v>
      </c>
      <c r="F48" s="16">
        <v>5</v>
      </c>
      <c r="G48" s="16">
        <v>2197.1999999999998</v>
      </c>
      <c r="H48" s="16">
        <f>SalesTable[[#This Row],[Quantity]] * SalesTable[[#This Row],[UnitPrice]]</f>
        <v>10986</v>
      </c>
      <c r="I48" s="16" t="s">
        <v>56</v>
      </c>
      <c r="J48" s="16" t="s">
        <v>57</v>
      </c>
      <c r="K48" s="16" t="str">
        <f>RIGHT(SalesTable[[#This Row],[Email]], LEN(SalesTable[[#This Row],[Email]]) - FIND("@", SalesTable[[#This Row],[Email]]))</f>
        <v>egypt.com</v>
      </c>
      <c r="L48" s="16" t="s">
        <v>121</v>
      </c>
    </row>
    <row r="49" spans="1:12" x14ac:dyDescent="0.3">
      <c r="A49" s="16" t="s">
        <v>127</v>
      </c>
      <c r="B49" s="18">
        <v>45505</v>
      </c>
      <c r="C49" s="20">
        <f>YEAR(SalesTable[[#This Row],[Date]])</f>
        <v>2024</v>
      </c>
      <c r="D49" s="16" t="s">
        <v>112</v>
      </c>
      <c r="E49" s="16" t="s">
        <v>18</v>
      </c>
      <c r="F49" s="16">
        <v>5</v>
      </c>
      <c r="G49" s="16">
        <v>1911.97</v>
      </c>
      <c r="H49" s="16">
        <f>SalesTable[[#This Row],[Quantity]] * SalesTable[[#This Row],[UnitPrice]]</f>
        <v>9559.85</v>
      </c>
      <c r="I49" s="16" t="s">
        <v>104</v>
      </c>
      <c r="J49" s="16" t="s">
        <v>105</v>
      </c>
      <c r="K49" s="16" t="str">
        <f>RIGHT(SalesTable[[#This Row],[Email]], LEN(SalesTable[[#This Row],[Email]]) - FIND("@", SalesTable[[#This Row],[Email]]))</f>
        <v>egypt.com</v>
      </c>
      <c r="L49" s="16" t="s">
        <v>71</v>
      </c>
    </row>
    <row r="50" spans="1:12" x14ac:dyDescent="0.3">
      <c r="A50" s="16" t="s">
        <v>128</v>
      </c>
      <c r="B50" s="18">
        <v>45548</v>
      </c>
      <c r="C50" s="20">
        <f>YEAR(SalesTable[[#This Row],[Date]])</f>
        <v>2024</v>
      </c>
      <c r="D50" s="16" t="s">
        <v>23</v>
      </c>
      <c r="E50" s="16" t="s">
        <v>12</v>
      </c>
      <c r="F50" s="16">
        <v>7</v>
      </c>
      <c r="G50" s="16">
        <v>2187.31</v>
      </c>
      <c r="H50" s="16">
        <f>SalesTable[[#This Row],[Quantity]] * SalesTable[[#This Row],[UnitPrice]]</f>
        <v>15311.17</v>
      </c>
      <c r="I50" s="16" t="s">
        <v>99</v>
      </c>
      <c r="J50" s="16" t="s">
        <v>100</v>
      </c>
      <c r="K50" s="16" t="str">
        <f>RIGHT(SalesTable[[#This Row],[Email]], LEN(SalesTable[[#This Row],[Email]]) - FIND("@", SalesTable[[#This Row],[Email]]))</f>
        <v>egypt.com</v>
      </c>
      <c r="L50" s="16" t="s">
        <v>59</v>
      </c>
    </row>
    <row r="51" spans="1:12" x14ac:dyDescent="0.3">
      <c r="A51" s="16" t="s">
        <v>129</v>
      </c>
      <c r="B51" s="18">
        <v>45654</v>
      </c>
      <c r="C51" s="20">
        <f>YEAR(SalesTable[[#This Row],[Date]])</f>
        <v>2024</v>
      </c>
      <c r="D51" s="16" t="s">
        <v>80</v>
      </c>
      <c r="E51" s="16" t="s">
        <v>12</v>
      </c>
      <c r="F51" s="16">
        <v>2</v>
      </c>
      <c r="G51" s="16">
        <v>4570.47</v>
      </c>
      <c r="H51" s="16">
        <f>SalesTable[[#This Row],[Quantity]] * SalesTable[[#This Row],[UnitPrice]]</f>
        <v>9140.94</v>
      </c>
      <c r="I51" s="16" t="s">
        <v>84</v>
      </c>
      <c r="J51" s="16" t="s">
        <v>85</v>
      </c>
      <c r="K51" s="16" t="str">
        <f>RIGHT(SalesTable[[#This Row],[Email]], LEN(SalesTable[[#This Row],[Email]]) - FIND("@", SalesTable[[#This Row],[Email]]))</f>
        <v>egypt.com</v>
      </c>
      <c r="L51" s="16" t="s">
        <v>40</v>
      </c>
    </row>
    <row r="52" spans="1:12" x14ac:dyDescent="0.3">
      <c r="A52" s="16" t="s">
        <v>130</v>
      </c>
      <c r="B52" s="18">
        <v>45630</v>
      </c>
      <c r="C52" s="20">
        <f>YEAR(SalesTable[[#This Row],[Date]])</f>
        <v>2024</v>
      </c>
      <c r="D52" s="16" t="s">
        <v>83</v>
      </c>
      <c r="E52" s="16" t="s">
        <v>18</v>
      </c>
      <c r="F52" s="16">
        <v>4</v>
      </c>
      <c r="G52" s="16">
        <v>2603.21</v>
      </c>
      <c r="H52" s="16">
        <f>SalesTable[[#This Row],[Quantity]] * SalesTable[[#This Row],[UnitPrice]]</f>
        <v>10412.84</v>
      </c>
      <c r="I52" s="16" t="s">
        <v>13</v>
      </c>
      <c r="J52" s="16" t="s">
        <v>14</v>
      </c>
      <c r="K52" s="16" t="str">
        <f>RIGHT(SalesTable[[#This Row],[Email]], LEN(SalesTable[[#This Row],[Email]]) - FIND("@", SalesTable[[#This Row],[Email]]))</f>
        <v>egypt.com</v>
      </c>
      <c r="L52" s="16" t="s">
        <v>61</v>
      </c>
    </row>
    <row r="53" spans="1:12" x14ac:dyDescent="0.3">
      <c r="A53" s="16" t="s">
        <v>131</v>
      </c>
      <c r="B53" s="18">
        <v>45637</v>
      </c>
      <c r="C53" s="20">
        <f>YEAR(SalesTable[[#This Row],[Date]])</f>
        <v>2024</v>
      </c>
      <c r="D53" s="16" t="s">
        <v>23</v>
      </c>
      <c r="E53" s="16" t="s">
        <v>12</v>
      </c>
      <c r="F53" s="16">
        <v>9</v>
      </c>
      <c r="G53" s="16">
        <v>2806.51</v>
      </c>
      <c r="H53" s="16">
        <f>SalesTable[[#This Row],[Quantity]] * SalesTable[[#This Row],[UnitPrice]]</f>
        <v>25258.590000000004</v>
      </c>
      <c r="I53" s="16" t="s">
        <v>13</v>
      </c>
      <c r="J53" s="16" t="s">
        <v>14</v>
      </c>
      <c r="K53" s="16" t="str">
        <f>RIGHT(SalesTable[[#This Row],[Email]], LEN(SalesTable[[#This Row],[Email]]) - FIND("@", SalesTable[[#This Row],[Email]]))</f>
        <v>egypt.com</v>
      </c>
      <c r="L53" s="16" t="s">
        <v>31</v>
      </c>
    </row>
    <row r="54" spans="1:12" x14ac:dyDescent="0.3">
      <c r="A54" s="16" t="s">
        <v>132</v>
      </c>
      <c r="B54" s="18">
        <v>45361</v>
      </c>
      <c r="C54" s="20">
        <f>YEAR(SalesTable[[#This Row],[Date]])</f>
        <v>2024</v>
      </c>
      <c r="D54" s="16" t="s">
        <v>28</v>
      </c>
      <c r="E54" s="16" t="s">
        <v>12</v>
      </c>
      <c r="F54" s="16">
        <v>10</v>
      </c>
      <c r="G54" s="16">
        <v>408.55</v>
      </c>
      <c r="H54" s="16">
        <f>SalesTable[[#This Row],[Quantity]] * SalesTable[[#This Row],[UnitPrice]]</f>
        <v>4085.5</v>
      </c>
      <c r="I54" s="16" t="s">
        <v>47</v>
      </c>
      <c r="J54" s="16" t="s">
        <v>48</v>
      </c>
      <c r="K54" s="16" t="str">
        <f>RIGHT(SalesTable[[#This Row],[Email]], LEN(SalesTable[[#This Row],[Email]]) - FIND("@", SalesTable[[#This Row],[Email]]))</f>
        <v>egypt.com</v>
      </c>
      <c r="L54" s="16" t="s">
        <v>66</v>
      </c>
    </row>
    <row r="55" spans="1:12" x14ac:dyDescent="0.3">
      <c r="A55" s="16" t="s">
        <v>133</v>
      </c>
      <c r="B55" s="18">
        <v>45325</v>
      </c>
      <c r="C55" s="20">
        <f>YEAR(SalesTable[[#This Row],[Date]])</f>
        <v>2024</v>
      </c>
      <c r="D55" s="16" t="s">
        <v>23</v>
      </c>
      <c r="E55" s="16" t="s">
        <v>12</v>
      </c>
      <c r="F55" s="16">
        <v>5</v>
      </c>
      <c r="G55" s="16">
        <v>3692.49</v>
      </c>
      <c r="H55" s="16">
        <f>SalesTable[[#This Row],[Quantity]] * SalesTable[[#This Row],[UnitPrice]]</f>
        <v>18462.449999999997</v>
      </c>
      <c r="I55" s="16" t="s">
        <v>33</v>
      </c>
      <c r="J55" s="16" t="s">
        <v>34</v>
      </c>
      <c r="K55" s="16" t="str">
        <f>RIGHT(SalesTable[[#This Row],[Email]], LEN(SalesTable[[#This Row],[Email]]) - FIND("@", SalesTable[[#This Row],[Email]]))</f>
        <v>egypt.com</v>
      </c>
      <c r="L55" s="16" t="s">
        <v>73</v>
      </c>
    </row>
    <row r="56" spans="1:12" x14ac:dyDescent="0.3">
      <c r="A56" s="16" t="s">
        <v>134</v>
      </c>
      <c r="B56" s="18">
        <v>45296</v>
      </c>
      <c r="C56" s="20">
        <f>YEAR(SalesTable[[#This Row],[Date]])</f>
        <v>2024</v>
      </c>
      <c r="D56" s="16" t="s">
        <v>50</v>
      </c>
      <c r="E56" s="16" t="s">
        <v>18</v>
      </c>
      <c r="F56" s="16">
        <v>9</v>
      </c>
      <c r="G56" s="16">
        <v>1484.82</v>
      </c>
      <c r="H56" s="16">
        <f>SalesTable[[#This Row],[Quantity]] * SalesTable[[#This Row],[UnitPrice]]</f>
        <v>13363.38</v>
      </c>
      <c r="I56" s="16" t="s">
        <v>13</v>
      </c>
      <c r="J56" s="16" t="s">
        <v>14</v>
      </c>
      <c r="K56" s="16" t="str">
        <f>RIGHT(SalesTable[[#This Row],[Email]], LEN(SalesTable[[#This Row],[Email]]) - FIND("@", SalesTable[[#This Row],[Email]]))</f>
        <v>egypt.com</v>
      </c>
      <c r="L56" s="16" t="s">
        <v>21</v>
      </c>
    </row>
    <row r="57" spans="1:12" x14ac:dyDescent="0.3">
      <c r="A57" s="16" t="s">
        <v>135</v>
      </c>
      <c r="B57" s="18">
        <v>45501</v>
      </c>
      <c r="C57" s="20">
        <f>YEAR(SalesTable[[#This Row],[Date]])</f>
        <v>2024</v>
      </c>
      <c r="D57" s="16" t="s">
        <v>11</v>
      </c>
      <c r="E57" s="16" t="s">
        <v>12</v>
      </c>
      <c r="F57" s="16">
        <v>4</v>
      </c>
      <c r="G57" s="16">
        <v>2448</v>
      </c>
      <c r="H57" s="16">
        <f>SalesTable[[#This Row],[Quantity]] * SalesTable[[#This Row],[UnitPrice]]</f>
        <v>9792</v>
      </c>
      <c r="I57" s="16" t="s">
        <v>136</v>
      </c>
      <c r="J57" s="16" t="s">
        <v>137</v>
      </c>
      <c r="K57" s="16" t="str">
        <f>RIGHT(SalesTable[[#This Row],[Email]], LEN(SalesTable[[#This Row],[Email]]) - FIND("@", SalesTable[[#This Row],[Email]]))</f>
        <v>egypt.com</v>
      </c>
      <c r="L57" s="16" t="s">
        <v>81</v>
      </c>
    </row>
    <row r="58" spans="1:12" x14ac:dyDescent="0.3">
      <c r="A58" s="16" t="s">
        <v>138</v>
      </c>
      <c r="B58" s="18">
        <v>45386</v>
      </c>
      <c r="C58" s="20">
        <f>YEAR(SalesTable[[#This Row],[Date]])</f>
        <v>2024</v>
      </c>
      <c r="D58" s="16" t="s">
        <v>80</v>
      </c>
      <c r="E58" s="16" t="s">
        <v>12</v>
      </c>
      <c r="F58" s="16">
        <v>7</v>
      </c>
      <c r="G58" s="16">
        <v>3985.55</v>
      </c>
      <c r="H58" s="16">
        <f>SalesTable[[#This Row],[Quantity]] * SalesTable[[#This Row],[UnitPrice]]</f>
        <v>27898.850000000002</v>
      </c>
      <c r="I58" s="16" t="s">
        <v>29</v>
      </c>
      <c r="J58" s="16" t="s">
        <v>30</v>
      </c>
      <c r="K58" s="16" t="str">
        <f>RIGHT(SalesTable[[#This Row],[Email]], LEN(SalesTable[[#This Row],[Email]]) - FIND("@", SalesTable[[#This Row],[Email]]))</f>
        <v>egypt.com</v>
      </c>
      <c r="L58" s="16" t="s">
        <v>97</v>
      </c>
    </row>
    <row r="59" spans="1:12" x14ac:dyDescent="0.3">
      <c r="A59" s="16" t="s">
        <v>139</v>
      </c>
      <c r="B59" s="18">
        <v>45599</v>
      </c>
      <c r="C59" s="20">
        <f>YEAR(SalesTable[[#This Row],[Date]])</f>
        <v>2024</v>
      </c>
      <c r="D59" s="16" t="s">
        <v>23</v>
      </c>
      <c r="E59" s="16" t="s">
        <v>12</v>
      </c>
      <c r="F59" s="16">
        <v>7</v>
      </c>
      <c r="G59" s="16">
        <v>1854.46</v>
      </c>
      <c r="H59" s="16">
        <f>SalesTable[[#This Row],[Quantity]] * SalesTable[[#This Row],[UnitPrice]]</f>
        <v>12981.220000000001</v>
      </c>
      <c r="I59" s="16" t="s">
        <v>29</v>
      </c>
      <c r="J59" s="16" t="s">
        <v>30</v>
      </c>
      <c r="K59" s="16" t="str">
        <f>RIGHT(SalesTable[[#This Row],[Email]], LEN(SalesTable[[#This Row],[Email]]) - FIND("@", SalesTable[[#This Row],[Email]]))</f>
        <v>egypt.com</v>
      </c>
      <c r="L59" s="16" t="s">
        <v>45</v>
      </c>
    </row>
    <row r="60" spans="1:12" x14ac:dyDescent="0.3">
      <c r="A60" s="16" t="s">
        <v>140</v>
      </c>
      <c r="B60" s="18">
        <v>45574</v>
      </c>
      <c r="C60" s="20">
        <f>YEAR(SalesTable[[#This Row],[Date]])</f>
        <v>2024</v>
      </c>
      <c r="D60" s="16" t="s">
        <v>23</v>
      </c>
      <c r="E60" s="16" t="s">
        <v>12</v>
      </c>
      <c r="F60" s="16">
        <v>7</v>
      </c>
      <c r="G60" s="16">
        <v>2820.05</v>
      </c>
      <c r="H60" s="16">
        <f>SalesTable[[#This Row],[Quantity]] * SalesTable[[#This Row],[UnitPrice]]</f>
        <v>19740.350000000002</v>
      </c>
      <c r="I60" s="16" t="s">
        <v>84</v>
      </c>
      <c r="J60" s="16" t="s">
        <v>85</v>
      </c>
      <c r="K60" s="16" t="str">
        <f>RIGHT(SalesTable[[#This Row],[Email]], LEN(SalesTable[[#This Row],[Email]]) - FIND("@", SalesTable[[#This Row],[Email]]))</f>
        <v>egypt.com</v>
      </c>
      <c r="L60" s="16" t="s">
        <v>141</v>
      </c>
    </row>
    <row r="61" spans="1:12" x14ac:dyDescent="0.3">
      <c r="A61" s="16" t="s">
        <v>142</v>
      </c>
      <c r="B61" s="18">
        <v>45607</v>
      </c>
      <c r="C61" s="20">
        <f>YEAR(SalesTable[[#This Row],[Date]])</f>
        <v>2024</v>
      </c>
      <c r="D61" s="16" t="s">
        <v>42</v>
      </c>
      <c r="E61" s="16" t="s">
        <v>18</v>
      </c>
      <c r="F61" s="16">
        <v>9</v>
      </c>
      <c r="G61" s="16">
        <v>1196.52</v>
      </c>
      <c r="H61" s="16">
        <f>SalesTable[[#This Row],[Quantity]] * SalesTable[[#This Row],[UnitPrice]]</f>
        <v>10768.68</v>
      </c>
      <c r="I61" s="16" t="s">
        <v>33</v>
      </c>
      <c r="J61" s="16" t="s">
        <v>34</v>
      </c>
      <c r="K61" s="16" t="str">
        <f>RIGHT(SalesTable[[#This Row],[Email]], LEN(SalesTable[[#This Row],[Email]]) - FIND("@", SalesTable[[#This Row],[Email]]))</f>
        <v>egypt.com</v>
      </c>
      <c r="L61" s="16" t="s">
        <v>66</v>
      </c>
    </row>
    <row r="62" spans="1:12" x14ac:dyDescent="0.3">
      <c r="A62" s="16" t="s">
        <v>143</v>
      </c>
      <c r="B62" s="18">
        <v>45577</v>
      </c>
      <c r="C62" s="20">
        <f>YEAR(SalesTable[[#This Row],[Date]])</f>
        <v>2024</v>
      </c>
      <c r="D62" s="16" t="s">
        <v>23</v>
      </c>
      <c r="E62" s="16" t="s">
        <v>12</v>
      </c>
      <c r="F62" s="16">
        <v>4</v>
      </c>
      <c r="G62" s="16">
        <v>4545.8900000000003</v>
      </c>
      <c r="H62" s="16">
        <f>SalesTable[[#This Row],[Quantity]] * SalesTable[[#This Row],[UnitPrice]]</f>
        <v>18183.560000000001</v>
      </c>
      <c r="I62" s="16" t="s">
        <v>109</v>
      </c>
      <c r="J62" s="16" t="s">
        <v>110</v>
      </c>
      <c r="K62" s="16" t="str">
        <f>RIGHT(SalesTable[[#This Row],[Email]], LEN(SalesTable[[#This Row],[Email]]) - FIND("@", SalesTable[[#This Row],[Email]]))</f>
        <v>egypt.com</v>
      </c>
      <c r="L62" s="16" t="s">
        <v>81</v>
      </c>
    </row>
    <row r="63" spans="1:12" x14ac:dyDescent="0.3">
      <c r="A63" s="16" t="s">
        <v>144</v>
      </c>
      <c r="B63" s="18">
        <v>45568</v>
      </c>
      <c r="C63" s="20">
        <f>YEAR(SalesTable[[#This Row],[Date]])</f>
        <v>2024</v>
      </c>
      <c r="D63" s="16" t="s">
        <v>83</v>
      </c>
      <c r="E63" s="16" t="s">
        <v>18</v>
      </c>
      <c r="F63" s="16">
        <v>3</v>
      </c>
      <c r="G63" s="16">
        <v>4952.47</v>
      </c>
      <c r="H63" s="16">
        <f>SalesTable[[#This Row],[Quantity]] * SalesTable[[#This Row],[UnitPrice]]</f>
        <v>14857.41</v>
      </c>
      <c r="I63" s="16" t="s">
        <v>109</v>
      </c>
      <c r="J63" s="16" t="s">
        <v>110</v>
      </c>
      <c r="K63" s="16" t="str">
        <f>RIGHT(SalesTable[[#This Row],[Email]], LEN(SalesTable[[#This Row],[Email]]) - FIND("@", SalesTable[[#This Row],[Email]]))</f>
        <v>egypt.com</v>
      </c>
      <c r="L63" s="16" t="s">
        <v>93</v>
      </c>
    </row>
    <row r="64" spans="1:12" x14ac:dyDescent="0.3">
      <c r="A64" s="16" t="s">
        <v>145</v>
      </c>
      <c r="B64" s="18">
        <v>45642</v>
      </c>
      <c r="C64" s="20">
        <f>YEAR(SalesTable[[#This Row],[Date]])</f>
        <v>2024</v>
      </c>
      <c r="D64" s="16" t="s">
        <v>63</v>
      </c>
      <c r="E64" s="16" t="s">
        <v>12</v>
      </c>
      <c r="F64" s="16">
        <v>7</v>
      </c>
      <c r="G64" s="16">
        <v>633.17999999999995</v>
      </c>
      <c r="H64" s="16">
        <f>SalesTable[[#This Row],[Quantity]] * SalesTable[[#This Row],[UnitPrice]]</f>
        <v>4432.2599999999993</v>
      </c>
      <c r="I64" s="16" t="s">
        <v>146</v>
      </c>
      <c r="J64" s="16" t="s">
        <v>147</v>
      </c>
      <c r="K64" s="16" t="str">
        <f>RIGHT(SalesTable[[#This Row],[Email]], LEN(SalesTable[[#This Row],[Email]]) - FIND("@", SalesTable[[#This Row],[Email]]))</f>
        <v>egypt.com</v>
      </c>
      <c r="L64" s="16" t="s">
        <v>101</v>
      </c>
    </row>
    <row r="65" spans="1:12" x14ac:dyDescent="0.3">
      <c r="A65" s="16" t="s">
        <v>148</v>
      </c>
      <c r="B65" s="18">
        <v>45299</v>
      </c>
      <c r="C65" s="20">
        <f>YEAR(SalesTable[[#This Row],[Date]])</f>
        <v>2024</v>
      </c>
      <c r="D65" s="16" t="s">
        <v>17</v>
      </c>
      <c r="E65" s="16" t="s">
        <v>18</v>
      </c>
      <c r="F65" s="16">
        <v>5</v>
      </c>
      <c r="G65" s="16">
        <v>1804.08</v>
      </c>
      <c r="H65" s="16">
        <f>SalesTable[[#This Row],[Quantity]] * SalesTable[[#This Row],[UnitPrice]]</f>
        <v>9020.4</v>
      </c>
      <c r="I65" s="16" t="s">
        <v>77</v>
      </c>
      <c r="J65" s="16" t="s">
        <v>78</v>
      </c>
      <c r="K65" s="16" t="str">
        <f>RIGHT(SalesTable[[#This Row],[Email]], LEN(SalesTable[[#This Row],[Email]]) - FIND("@", SalesTable[[#This Row],[Email]]))</f>
        <v>egypt.com</v>
      </c>
      <c r="L65" s="16" t="s">
        <v>101</v>
      </c>
    </row>
    <row r="66" spans="1:12" x14ac:dyDescent="0.3">
      <c r="A66" s="16" t="s">
        <v>149</v>
      </c>
      <c r="B66" s="18">
        <v>45386</v>
      </c>
      <c r="C66" s="20">
        <f>YEAR(SalesTable[[#This Row],[Date]])</f>
        <v>2024</v>
      </c>
      <c r="D66" s="16" t="s">
        <v>83</v>
      </c>
      <c r="E66" s="16" t="s">
        <v>18</v>
      </c>
      <c r="F66" s="16">
        <v>1</v>
      </c>
      <c r="G66" s="16">
        <v>1282.6400000000001</v>
      </c>
      <c r="H66" s="16">
        <f>SalesTable[[#This Row],[Quantity]] * SalesTable[[#This Row],[UnitPrice]]</f>
        <v>1282.6400000000001</v>
      </c>
      <c r="I66" s="16" t="s">
        <v>43</v>
      </c>
      <c r="J66" s="16" t="s">
        <v>44</v>
      </c>
      <c r="K66" s="16" t="str">
        <f>RIGHT(SalesTable[[#This Row],[Email]], LEN(SalesTable[[#This Row],[Email]]) - FIND("@", SalesTable[[#This Row],[Email]]))</f>
        <v>egypt.com</v>
      </c>
      <c r="L66" s="16" t="s">
        <v>97</v>
      </c>
    </row>
    <row r="67" spans="1:12" x14ac:dyDescent="0.3">
      <c r="A67" s="16" t="s">
        <v>150</v>
      </c>
      <c r="B67" s="18">
        <v>45582</v>
      </c>
      <c r="C67" s="20">
        <f>YEAR(SalesTable[[#This Row],[Date]])</f>
        <v>2024</v>
      </c>
      <c r="D67" s="16" t="s">
        <v>50</v>
      </c>
      <c r="E67" s="16" t="s">
        <v>18</v>
      </c>
      <c r="F67" s="16">
        <v>4</v>
      </c>
      <c r="G67" s="16">
        <v>4714.79</v>
      </c>
      <c r="H67" s="16">
        <f>SalesTable[[#This Row],[Quantity]] * SalesTable[[#This Row],[UnitPrice]]</f>
        <v>18859.16</v>
      </c>
      <c r="I67" s="16" t="s">
        <v>56</v>
      </c>
      <c r="J67" s="16" t="s">
        <v>57</v>
      </c>
      <c r="K67" s="16" t="str">
        <f>RIGHT(SalesTable[[#This Row],[Email]], LEN(SalesTable[[#This Row],[Email]]) - FIND("@", SalesTable[[#This Row],[Email]]))</f>
        <v>egypt.com</v>
      </c>
      <c r="L67" s="16" t="s">
        <v>69</v>
      </c>
    </row>
    <row r="68" spans="1:12" x14ac:dyDescent="0.3">
      <c r="A68" s="16" t="s">
        <v>151</v>
      </c>
      <c r="B68" s="18">
        <v>45450</v>
      </c>
      <c r="C68" s="20">
        <f>YEAR(SalesTable[[#This Row],[Date]])</f>
        <v>2024</v>
      </c>
      <c r="D68" s="16" t="s">
        <v>42</v>
      </c>
      <c r="E68" s="16" t="s">
        <v>18</v>
      </c>
      <c r="F68" s="16">
        <v>8</v>
      </c>
      <c r="G68" s="16">
        <v>3526.2</v>
      </c>
      <c r="H68" s="16">
        <f>SalesTable[[#This Row],[Quantity]] * SalesTable[[#This Row],[UnitPrice]]</f>
        <v>28209.599999999999</v>
      </c>
      <c r="I68" s="16" t="s">
        <v>56</v>
      </c>
      <c r="J68" s="16" t="s">
        <v>57</v>
      </c>
      <c r="K68" s="16" t="str">
        <f>RIGHT(SalesTable[[#This Row],[Email]], LEN(SalesTable[[#This Row],[Email]]) - FIND("@", SalesTable[[#This Row],[Email]]))</f>
        <v>egypt.com</v>
      </c>
      <c r="L68" s="16" t="s">
        <v>26</v>
      </c>
    </row>
    <row r="69" spans="1:12" x14ac:dyDescent="0.3">
      <c r="A69" s="16" t="s">
        <v>152</v>
      </c>
      <c r="B69" s="18">
        <v>45443</v>
      </c>
      <c r="C69" s="20">
        <f>YEAR(SalesTable[[#This Row],[Date]])</f>
        <v>2024</v>
      </c>
      <c r="D69" s="16" t="s">
        <v>37</v>
      </c>
      <c r="E69" s="16" t="s">
        <v>12</v>
      </c>
      <c r="F69" s="16">
        <v>6</v>
      </c>
      <c r="G69" s="16">
        <v>4882.51</v>
      </c>
      <c r="H69" s="16">
        <f>SalesTable[[#This Row],[Quantity]] * SalesTable[[#This Row],[UnitPrice]]</f>
        <v>29295.06</v>
      </c>
      <c r="I69" s="16" t="s">
        <v>77</v>
      </c>
      <c r="J69" s="16" t="s">
        <v>78</v>
      </c>
      <c r="K69" s="16" t="str">
        <f>RIGHT(SalesTable[[#This Row],[Email]], LEN(SalesTable[[#This Row],[Email]]) - FIND("@", SalesTable[[#This Row],[Email]]))</f>
        <v>egypt.com</v>
      </c>
      <c r="L69" s="16" t="s">
        <v>45</v>
      </c>
    </row>
    <row r="70" spans="1:12" x14ac:dyDescent="0.3">
      <c r="A70" s="16" t="s">
        <v>153</v>
      </c>
      <c r="B70" s="18">
        <v>45417</v>
      </c>
      <c r="C70" s="20">
        <f>YEAR(SalesTable[[#This Row],[Date]])</f>
        <v>2024</v>
      </c>
      <c r="D70" s="16" t="s">
        <v>28</v>
      </c>
      <c r="E70" s="16" t="s">
        <v>12</v>
      </c>
      <c r="F70" s="16">
        <v>8</v>
      </c>
      <c r="G70" s="16">
        <v>2983.24</v>
      </c>
      <c r="H70" s="16">
        <f>SalesTable[[#This Row],[Quantity]] * SalesTable[[#This Row],[UnitPrice]]</f>
        <v>23865.919999999998</v>
      </c>
      <c r="I70" s="16" t="s">
        <v>51</v>
      </c>
      <c r="J70" s="16" t="s">
        <v>52</v>
      </c>
      <c r="K70" s="16" t="str">
        <f>RIGHT(SalesTable[[#This Row],[Email]], LEN(SalesTable[[#This Row],[Email]]) - FIND("@", SalesTable[[#This Row],[Email]]))</f>
        <v>egypt.com</v>
      </c>
      <c r="L70" s="16" t="s">
        <v>40</v>
      </c>
    </row>
    <row r="71" spans="1:12" x14ac:dyDescent="0.3">
      <c r="A71" s="16" t="s">
        <v>154</v>
      </c>
      <c r="B71" s="18">
        <v>45498</v>
      </c>
      <c r="C71" s="20">
        <f>YEAR(SalesTable[[#This Row],[Date]])</f>
        <v>2024</v>
      </c>
      <c r="D71" s="16" t="s">
        <v>83</v>
      </c>
      <c r="E71" s="16" t="s">
        <v>18</v>
      </c>
      <c r="F71" s="16">
        <v>6</v>
      </c>
      <c r="G71" s="16">
        <v>1441.59</v>
      </c>
      <c r="H71" s="16">
        <f>SalesTable[[#This Row],[Quantity]] * SalesTable[[#This Row],[UnitPrice]]</f>
        <v>8649.5399999999991</v>
      </c>
      <c r="I71" s="16" t="s">
        <v>47</v>
      </c>
      <c r="J71" s="16" t="s">
        <v>48</v>
      </c>
      <c r="K71" s="16" t="str">
        <f>RIGHT(SalesTable[[#This Row],[Email]], LEN(SalesTable[[#This Row],[Email]]) - FIND("@", SalesTable[[#This Row],[Email]]))</f>
        <v>egypt.com</v>
      </c>
      <c r="L71" s="16" t="s">
        <v>71</v>
      </c>
    </row>
    <row r="72" spans="1:12" x14ac:dyDescent="0.3">
      <c r="A72" s="16" t="s">
        <v>155</v>
      </c>
      <c r="B72" s="18">
        <v>45564</v>
      </c>
      <c r="C72" s="20">
        <f>YEAR(SalesTable[[#This Row],[Date]])</f>
        <v>2024</v>
      </c>
      <c r="D72" s="16" t="s">
        <v>91</v>
      </c>
      <c r="E72" s="16" t="s">
        <v>18</v>
      </c>
      <c r="F72" s="16">
        <v>8</v>
      </c>
      <c r="G72" s="16">
        <v>3869.71</v>
      </c>
      <c r="H72" s="16">
        <f>SalesTable[[#This Row],[Quantity]] * SalesTable[[#This Row],[UnitPrice]]</f>
        <v>30957.68</v>
      </c>
      <c r="I72" s="16" t="s">
        <v>99</v>
      </c>
      <c r="J72" s="16" t="s">
        <v>100</v>
      </c>
      <c r="K72" s="16" t="str">
        <f>RIGHT(SalesTable[[#This Row],[Email]], LEN(SalesTable[[#This Row],[Email]]) - FIND("@", SalesTable[[#This Row],[Email]]))</f>
        <v>egypt.com</v>
      </c>
      <c r="L72" s="16" t="s">
        <v>93</v>
      </c>
    </row>
    <row r="73" spans="1:12" x14ac:dyDescent="0.3">
      <c r="A73" s="16" t="s">
        <v>156</v>
      </c>
      <c r="B73" s="18">
        <v>45398</v>
      </c>
      <c r="C73" s="20">
        <f>YEAR(SalesTable[[#This Row],[Date]])</f>
        <v>2024</v>
      </c>
      <c r="D73" s="16" t="s">
        <v>63</v>
      </c>
      <c r="E73" s="16" t="s">
        <v>12</v>
      </c>
      <c r="F73" s="16">
        <v>10</v>
      </c>
      <c r="G73" s="16">
        <v>298.23</v>
      </c>
      <c r="H73" s="16">
        <f>SalesTable[[#This Row],[Quantity]] * SalesTable[[#This Row],[UnitPrice]]</f>
        <v>2982.3</v>
      </c>
      <c r="I73" s="16" t="s">
        <v>24</v>
      </c>
      <c r="J73" s="16" t="s">
        <v>25</v>
      </c>
      <c r="K73" s="16" t="str">
        <f>RIGHT(SalesTable[[#This Row],[Email]], LEN(SalesTable[[#This Row],[Email]]) - FIND("@", SalesTable[[#This Row],[Email]]))</f>
        <v>egypt.com</v>
      </c>
      <c r="L73" s="16" t="s">
        <v>101</v>
      </c>
    </row>
    <row r="74" spans="1:12" x14ac:dyDescent="0.3">
      <c r="A74" s="16" t="s">
        <v>157</v>
      </c>
      <c r="B74" s="18">
        <v>45579</v>
      </c>
      <c r="C74" s="20">
        <f>YEAR(SalesTable[[#This Row],[Date]])</f>
        <v>2024</v>
      </c>
      <c r="D74" s="16" t="s">
        <v>37</v>
      </c>
      <c r="E74" s="16" t="s">
        <v>12</v>
      </c>
      <c r="F74" s="16">
        <v>10</v>
      </c>
      <c r="G74" s="16">
        <v>392.97</v>
      </c>
      <c r="H74" s="16">
        <f>SalesTable[[#This Row],[Quantity]] * SalesTable[[#This Row],[UnitPrice]]</f>
        <v>3929.7000000000003</v>
      </c>
      <c r="I74" s="16" t="s">
        <v>33</v>
      </c>
      <c r="J74" s="16" t="s">
        <v>34</v>
      </c>
      <c r="K74" s="16" t="str">
        <f>RIGHT(SalesTable[[#This Row],[Email]], LEN(SalesTable[[#This Row],[Email]]) - FIND("@", SalesTable[[#This Row],[Email]]))</f>
        <v>egypt.com</v>
      </c>
      <c r="L74" s="16" t="s">
        <v>35</v>
      </c>
    </row>
    <row r="75" spans="1:12" x14ac:dyDescent="0.3">
      <c r="A75" s="16" t="s">
        <v>158</v>
      </c>
      <c r="B75" s="18">
        <v>45391</v>
      </c>
      <c r="C75" s="20">
        <f>YEAR(SalesTable[[#This Row],[Date]])</f>
        <v>2024</v>
      </c>
      <c r="D75" s="16" t="s">
        <v>42</v>
      </c>
      <c r="E75" s="16" t="s">
        <v>18</v>
      </c>
      <c r="F75" s="16">
        <v>2</v>
      </c>
      <c r="G75" s="16">
        <v>1683.79</v>
      </c>
      <c r="H75" s="16">
        <f>SalesTable[[#This Row],[Quantity]] * SalesTable[[#This Row],[UnitPrice]]</f>
        <v>3367.58</v>
      </c>
      <c r="I75" s="16" t="s">
        <v>88</v>
      </c>
      <c r="J75" s="16" t="s">
        <v>89</v>
      </c>
      <c r="K75" s="16" t="str">
        <f>RIGHT(SalesTable[[#This Row],[Email]], LEN(SalesTable[[#This Row],[Email]]) - FIND("@", SalesTable[[#This Row],[Email]]))</f>
        <v>egypt.com</v>
      </c>
      <c r="L75" s="16" t="s">
        <v>97</v>
      </c>
    </row>
    <row r="76" spans="1:12" x14ac:dyDescent="0.3">
      <c r="A76" s="16" t="s">
        <v>159</v>
      </c>
      <c r="B76" s="18">
        <v>45578</v>
      </c>
      <c r="C76" s="20">
        <f>YEAR(SalesTable[[#This Row],[Date]])</f>
        <v>2024</v>
      </c>
      <c r="D76" s="16" t="s">
        <v>80</v>
      </c>
      <c r="E76" s="16" t="s">
        <v>12</v>
      </c>
      <c r="F76" s="16">
        <v>2</v>
      </c>
      <c r="G76" s="16">
        <v>4429.6000000000004</v>
      </c>
      <c r="H76" s="16">
        <f>SalesTable[[#This Row],[Quantity]] * SalesTable[[#This Row],[UnitPrice]]</f>
        <v>8859.2000000000007</v>
      </c>
      <c r="I76" s="16" t="s">
        <v>29</v>
      </c>
      <c r="J76" s="16" t="s">
        <v>30</v>
      </c>
      <c r="K76" s="16" t="str">
        <f>RIGHT(SalesTable[[#This Row],[Email]], LEN(SalesTable[[#This Row],[Email]]) - FIND("@", SalesTable[[#This Row],[Email]]))</f>
        <v>egypt.com</v>
      </c>
      <c r="L76" s="16" t="s">
        <v>75</v>
      </c>
    </row>
    <row r="77" spans="1:12" x14ac:dyDescent="0.3">
      <c r="A77" s="16" t="s">
        <v>160</v>
      </c>
      <c r="B77" s="18">
        <v>45431</v>
      </c>
      <c r="C77" s="20">
        <f>YEAR(SalesTable[[#This Row],[Date]])</f>
        <v>2024</v>
      </c>
      <c r="D77" s="16" t="s">
        <v>63</v>
      </c>
      <c r="E77" s="16" t="s">
        <v>12</v>
      </c>
      <c r="F77" s="16">
        <v>7</v>
      </c>
      <c r="G77" s="16">
        <v>898.55</v>
      </c>
      <c r="H77" s="16">
        <f>SalesTable[[#This Row],[Quantity]] * SalesTable[[#This Row],[UnitPrice]]</f>
        <v>6289.8499999999995</v>
      </c>
      <c r="I77" s="16" t="s">
        <v>47</v>
      </c>
      <c r="J77" s="16" t="s">
        <v>48</v>
      </c>
      <c r="K77" s="16" t="str">
        <f>RIGHT(SalesTable[[#This Row],[Email]], LEN(SalesTable[[#This Row],[Email]]) - FIND("@", SalesTable[[#This Row],[Email]]))</f>
        <v>egypt.com</v>
      </c>
      <c r="L77" s="16" t="s">
        <v>101</v>
      </c>
    </row>
    <row r="78" spans="1:12" x14ac:dyDescent="0.3">
      <c r="A78" s="16" t="s">
        <v>161</v>
      </c>
      <c r="B78" s="18">
        <v>45317</v>
      </c>
      <c r="C78" s="20">
        <f>YEAR(SalesTable[[#This Row],[Date]])</f>
        <v>2024</v>
      </c>
      <c r="D78" s="16" t="s">
        <v>37</v>
      </c>
      <c r="E78" s="16" t="s">
        <v>12</v>
      </c>
      <c r="F78" s="16">
        <v>6</v>
      </c>
      <c r="G78" s="16">
        <v>1790.1</v>
      </c>
      <c r="H78" s="16">
        <f>SalesTable[[#This Row],[Quantity]] * SalesTable[[#This Row],[UnitPrice]]</f>
        <v>10740.599999999999</v>
      </c>
      <c r="I78" s="16" t="s">
        <v>38</v>
      </c>
      <c r="J78" s="16" t="s">
        <v>39</v>
      </c>
      <c r="K78" s="16" t="str">
        <f>RIGHT(SalesTable[[#This Row],[Email]], LEN(SalesTable[[#This Row],[Email]]) - FIND("@", SalesTable[[#This Row],[Email]]))</f>
        <v>egypt.com</v>
      </c>
      <c r="L78" s="16" t="s">
        <v>93</v>
      </c>
    </row>
    <row r="79" spans="1:12" x14ac:dyDescent="0.3">
      <c r="A79" s="16" t="s">
        <v>162</v>
      </c>
      <c r="B79" s="18">
        <v>45453</v>
      </c>
      <c r="C79" s="20">
        <f>YEAR(SalesTable[[#This Row],[Date]])</f>
        <v>2024</v>
      </c>
      <c r="D79" s="16" t="s">
        <v>83</v>
      </c>
      <c r="E79" s="16" t="s">
        <v>18</v>
      </c>
      <c r="F79" s="16">
        <v>5</v>
      </c>
      <c r="G79" s="16">
        <v>2580.1999999999998</v>
      </c>
      <c r="H79" s="16">
        <f>SalesTable[[#This Row],[Quantity]] * SalesTable[[#This Row],[UnitPrice]]</f>
        <v>12901</v>
      </c>
      <c r="I79" s="16" t="s">
        <v>104</v>
      </c>
      <c r="J79" s="16" t="s">
        <v>105</v>
      </c>
      <c r="K79" s="16" t="str">
        <f>RIGHT(SalesTable[[#This Row],[Email]], LEN(SalesTable[[#This Row],[Email]]) - FIND("@", SalesTable[[#This Row],[Email]]))</f>
        <v>egypt.com</v>
      </c>
      <c r="L79" s="16" t="s">
        <v>81</v>
      </c>
    </row>
    <row r="80" spans="1:12" x14ac:dyDescent="0.3">
      <c r="A80" s="16" t="s">
        <v>163</v>
      </c>
      <c r="B80" s="18">
        <v>45574</v>
      </c>
      <c r="C80" s="20">
        <f>YEAR(SalesTable[[#This Row],[Date]])</f>
        <v>2024</v>
      </c>
      <c r="D80" s="16" t="s">
        <v>112</v>
      </c>
      <c r="E80" s="16" t="s">
        <v>18</v>
      </c>
      <c r="F80" s="16">
        <v>1</v>
      </c>
      <c r="G80" s="16">
        <v>4396.22</v>
      </c>
      <c r="H80" s="16">
        <f>SalesTable[[#This Row],[Quantity]] * SalesTable[[#This Row],[UnitPrice]]</f>
        <v>4396.22</v>
      </c>
      <c r="I80" s="16" t="s">
        <v>95</v>
      </c>
      <c r="J80" s="16" t="s">
        <v>96</v>
      </c>
      <c r="K80" s="16" t="str">
        <f>RIGHT(SalesTable[[#This Row],[Email]], LEN(SalesTable[[#This Row],[Email]]) - FIND("@", SalesTable[[#This Row],[Email]]))</f>
        <v>egypt.com</v>
      </c>
      <c r="L80" s="16" t="s">
        <v>66</v>
      </c>
    </row>
    <row r="81" spans="1:12" x14ac:dyDescent="0.3">
      <c r="A81" s="16" t="s">
        <v>164</v>
      </c>
      <c r="B81" s="18">
        <v>45525</v>
      </c>
      <c r="C81" s="20">
        <f>YEAR(SalesTable[[#This Row],[Date]])</f>
        <v>2024</v>
      </c>
      <c r="D81" s="16" t="s">
        <v>23</v>
      </c>
      <c r="E81" s="16" t="s">
        <v>12</v>
      </c>
      <c r="F81" s="16">
        <v>10</v>
      </c>
      <c r="G81" s="16">
        <v>1457.61</v>
      </c>
      <c r="H81" s="16">
        <f>SalesTable[[#This Row],[Quantity]] * SalesTable[[#This Row],[UnitPrice]]</f>
        <v>14576.099999999999</v>
      </c>
      <c r="I81" s="16" t="s">
        <v>33</v>
      </c>
      <c r="J81" s="16" t="s">
        <v>34</v>
      </c>
      <c r="K81" s="16" t="str">
        <f>RIGHT(SalesTable[[#This Row],[Email]], LEN(SalesTable[[#This Row],[Email]]) - FIND("@", SalesTable[[#This Row],[Email]]))</f>
        <v>egypt.com</v>
      </c>
      <c r="L81" s="16" t="s">
        <v>81</v>
      </c>
    </row>
    <row r="82" spans="1:12" x14ac:dyDescent="0.3">
      <c r="A82" s="16" t="s">
        <v>165</v>
      </c>
      <c r="B82" s="18">
        <v>45494</v>
      </c>
      <c r="C82" s="20">
        <f>YEAR(SalesTable[[#This Row],[Date]])</f>
        <v>2024</v>
      </c>
      <c r="D82" s="16" t="s">
        <v>11</v>
      </c>
      <c r="E82" s="16" t="s">
        <v>12</v>
      </c>
      <c r="F82" s="16">
        <v>8</v>
      </c>
      <c r="G82" s="16">
        <v>1379.91</v>
      </c>
      <c r="H82" s="16">
        <f>SalesTable[[#This Row],[Quantity]] * SalesTable[[#This Row],[UnitPrice]]</f>
        <v>11039.28</v>
      </c>
      <c r="I82" s="16" t="s">
        <v>19</v>
      </c>
      <c r="J82" s="16" t="s">
        <v>20</v>
      </c>
      <c r="K82" s="16" t="str">
        <f>RIGHT(SalesTable[[#This Row],[Email]], LEN(SalesTable[[#This Row],[Email]]) - FIND("@", SalesTable[[#This Row],[Email]]))</f>
        <v>egypt.com</v>
      </c>
      <c r="L82" s="16" t="s">
        <v>35</v>
      </c>
    </row>
    <row r="83" spans="1:12" x14ac:dyDescent="0.3">
      <c r="A83" s="16" t="s">
        <v>166</v>
      </c>
      <c r="B83" s="18">
        <v>45570</v>
      </c>
      <c r="C83" s="20">
        <f>YEAR(SalesTable[[#This Row],[Date]])</f>
        <v>2024</v>
      </c>
      <c r="D83" s="16" t="s">
        <v>28</v>
      </c>
      <c r="E83" s="16" t="s">
        <v>12</v>
      </c>
      <c r="F83" s="16">
        <v>8</v>
      </c>
      <c r="G83" s="16">
        <v>2553.14</v>
      </c>
      <c r="H83" s="16">
        <f>SalesTable[[#This Row],[Quantity]] * SalesTable[[#This Row],[UnitPrice]]</f>
        <v>20425.12</v>
      </c>
      <c r="I83" s="16" t="s">
        <v>99</v>
      </c>
      <c r="J83" s="16" t="s">
        <v>100</v>
      </c>
      <c r="K83" s="16" t="str">
        <f>RIGHT(SalesTable[[#This Row],[Email]], LEN(SalesTable[[#This Row],[Email]]) - FIND("@", SalesTable[[#This Row],[Email]]))</f>
        <v>egypt.com</v>
      </c>
      <c r="L83" s="16" t="s">
        <v>53</v>
      </c>
    </row>
    <row r="84" spans="1:12" x14ac:dyDescent="0.3">
      <c r="A84" s="16" t="s">
        <v>167</v>
      </c>
      <c r="B84" s="18">
        <v>45326</v>
      </c>
      <c r="C84" s="20">
        <f>YEAR(SalesTable[[#This Row],[Date]])</f>
        <v>2024</v>
      </c>
      <c r="D84" s="16" t="s">
        <v>63</v>
      </c>
      <c r="E84" s="16" t="s">
        <v>12</v>
      </c>
      <c r="F84" s="16">
        <v>3</v>
      </c>
      <c r="G84" s="16">
        <v>3066.6</v>
      </c>
      <c r="H84" s="16">
        <f>SalesTable[[#This Row],[Quantity]] * SalesTable[[#This Row],[UnitPrice]]</f>
        <v>9199.7999999999993</v>
      </c>
      <c r="I84" s="16" t="s">
        <v>146</v>
      </c>
      <c r="J84" s="16" t="s">
        <v>147</v>
      </c>
      <c r="K84" s="16" t="str">
        <f>RIGHT(SalesTable[[#This Row],[Email]], LEN(SalesTable[[#This Row],[Email]]) - FIND("@", SalesTable[[#This Row],[Email]]))</f>
        <v>egypt.com</v>
      </c>
      <c r="L84" s="16" t="s">
        <v>71</v>
      </c>
    </row>
    <row r="85" spans="1:12" x14ac:dyDescent="0.3">
      <c r="A85" s="16" t="s">
        <v>168</v>
      </c>
      <c r="B85" s="18">
        <v>45527</v>
      </c>
      <c r="C85" s="20">
        <f>YEAR(SalesTable[[#This Row],[Date]])</f>
        <v>2024</v>
      </c>
      <c r="D85" s="16" t="s">
        <v>37</v>
      </c>
      <c r="E85" s="16" t="s">
        <v>12</v>
      </c>
      <c r="F85" s="16">
        <v>2</v>
      </c>
      <c r="G85" s="16">
        <v>3603.96</v>
      </c>
      <c r="H85" s="16">
        <f>SalesTable[[#This Row],[Quantity]] * SalesTable[[#This Row],[UnitPrice]]</f>
        <v>7207.92</v>
      </c>
      <c r="I85" s="16" t="s">
        <v>51</v>
      </c>
      <c r="J85" s="16" t="s">
        <v>52</v>
      </c>
      <c r="K85" s="16" t="str">
        <f>RIGHT(SalesTable[[#This Row],[Email]], LEN(SalesTable[[#This Row],[Email]]) - FIND("@", SalesTable[[#This Row],[Email]]))</f>
        <v>egypt.com</v>
      </c>
      <c r="L85" s="16" t="s">
        <v>35</v>
      </c>
    </row>
    <row r="86" spans="1:12" x14ac:dyDescent="0.3">
      <c r="A86" s="16" t="s">
        <v>169</v>
      </c>
      <c r="B86" s="18">
        <v>45364</v>
      </c>
      <c r="C86" s="20">
        <f>YEAR(SalesTable[[#This Row],[Date]])</f>
        <v>2024</v>
      </c>
      <c r="D86" s="16" t="s">
        <v>11</v>
      </c>
      <c r="E86" s="16" t="s">
        <v>12</v>
      </c>
      <c r="F86" s="16">
        <v>4</v>
      </c>
      <c r="G86" s="16">
        <v>1825.86</v>
      </c>
      <c r="H86" s="16">
        <f>SalesTable[[#This Row],[Quantity]] * SalesTable[[#This Row],[UnitPrice]]</f>
        <v>7303.44</v>
      </c>
      <c r="I86" s="16" t="s">
        <v>29</v>
      </c>
      <c r="J86" s="16" t="s">
        <v>30</v>
      </c>
      <c r="K86" s="16" t="str">
        <f>RIGHT(SalesTable[[#This Row],[Email]], LEN(SalesTable[[#This Row],[Email]]) - FIND("@", SalesTable[[#This Row],[Email]]))</f>
        <v>egypt.com</v>
      </c>
      <c r="L86" s="16" t="s">
        <v>53</v>
      </c>
    </row>
    <row r="87" spans="1:12" x14ac:dyDescent="0.3">
      <c r="A87" s="16" t="s">
        <v>170</v>
      </c>
      <c r="B87" s="18">
        <v>45341</v>
      </c>
      <c r="C87" s="20">
        <f>YEAR(SalesTable[[#This Row],[Date]])</f>
        <v>2024</v>
      </c>
      <c r="D87" s="16" t="s">
        <v>112</v>
      </c>
      <c r="E87" s="16" t="s">
        <v>18</v>
      </c>
      <c r="F87" s="16">
        <v>10</v>
      </c>
      <c r="G87" s="16">
        <v>3634.48</v>
      </c>
      <c r="H87" s="16">
        <f>SalesTable[[#This Row],[Quantity]] * SalesTable[[#This Row],[UnitPrice]]</f>
        <v>36344.800000000003</v>
      </c>
      <c r="I87" s="16" t="s">
        <v>13</v>
      </c>
      <c r="J87" s="16" t="s">
        <v>14</v>
      </c>
      <c r="K87" s="16" t="str">
        <f>RIGHT(SalesTable[[#This Row],[Email]], LEN(SalesTable[[#This Row],[Email]]) - FIND("@", SalesTable[[#This Row],[Email]]))</f>
        <v>egypt.com</v>
      </c>
      <c r="L87" s="16" t="s">
        <v>53</v>
      </c>
    </row>
    <row r="88" spans="1:12" x14ac:dyDescent="0.3">
      <c r="A88" s="16" t="s">
        <v>171</v>
      </c>
      <c r="B88" s="18">
        <v>45425</v>
      </c>
      <c r="C88" s="20">
        <f>YEAR(SalesTable[[#This Row],[Date]])</f>
        <v>2024</v>
      </c>
      <c r="D88" s="16" t="s">
        <v>83</v>
      </c>
      <c r="E88" s="16" t="s">
        <v>18</v>
      </c>
      <c r="F88" s="16">
        <v>4</v>
      </c>
      <c r="G88" s="16">
        <v>4863.84</v>
      </c>
      <c r="H88" s="16">
        <f>SalesTable[[#This Row],[Quantity]] * SalesTable[[#This Row],[UnitPrice]]</f>
        <v>19455.36</v>
      </c>
      <c r="I88" s="16" t="s">
        <v>136</v>
      </c>
      <c r="J88" s="16" t="s">
        <v>137</v>
      </c>
      <c r="K88" s="16" t="str">
        <f>RIGHT(SalesTable[[#This Row],[Email]], LEN(SalesTable[[#This Row],[Email]]) - FIND("@", SalesTable[[#This Row],[Email]]))</f>
        <v>egypt.com</v>
      </c>
      <c r="L88" s="16" t="s">
        <v>53</v>
      </c>
    </row>
    <row r="89" spans="1:12" x14ac:dyDescent="0.3">
      <c r="A89" s="16" t="s">
        <v>172</v>
      </c>
      <c r="B89" s="18">
        <v>45470</v>
      </c>
      <c r="C89" s="20">
        <f>YEAR(SalesTable[[#This Row],[Date]])</f>
        <v>2024</v>
      </c>
      <c r="D89" s="16" t="s">
        <v>83</v>
      </c>
      <c r="E89" s="16" t="s">
        <v>18</v>
      </c>
      <c r="F89" s="16">
        <v>4</v>
      </c>
      <c r="G89" s="16">
        <v>775.23</v>
      </c>
      <c r="H89" s="16">
        <f>SalesTable[[#This Row],[Quantity]] * SalesTable[[#This Row],[UnitPrice]]</f>
        <v>3100.92</v>
      </c>
      <c r="I89" s="16" t="s">
        <v>136</v>
      </c>
      <c r="J89" s="16" t="s">
        <v>137</v>
      </c>
      <c r="K89" s="16" t="str">
        <f>RIGHT(SalesTable[[#This Row],[Email]], LEN(SalesTable[[#This Row],[Email]]) - FIND("@", SalesTable[[#This Row],[Email]]))</f>
        <v>egypt.com</v>
      </c>
      <c r="L89" s="16" t="s">
        <v>93</v>
      </c>
    </row>
    <row r="90" spans="1:12" x14ac:dyDescent="0.3">
      <c r="A90" s="16" t="s">
        <v>173</v>
      </c>
      <c r="B90" s="18">
        <v>45422</v>
      </c>
      <c r="C90" s="20">
        <f>YEAR(SalesTable[[#This Row],[Date]])</f>
        <v>2024</v>
      </c>
      <c r="D90" s="16" t="s">
        <v>80</v>
      </c>
      <c r="E90" s="16" t="s">
        <v>12</v>
      </c>
      <c r="F90" s="16">
        <v>1</v>
      </c>
      <c r="G90" s="16">
        <v>3074.22</v>
      </c>
      <c r="H90" s="16">
        <f>SalesTable[[#This Row],[Quantity]] * SalesTable[[#This Row],[UnitPrice]]</f>
        <v>3074.22</v>
      </c>
      <c r="I90" s="16" t="s">
        <v>64</v>
      </c>
      <c r="J90" s="16" t="s">
        <v>65</v>
      </c>
      <c r="K90" s="16" t="str">
        <f>RIGHT(SalesTable[[#This Row],[Email]], LEN(SalesTable[[#This Row],[Email]]) - FIND("@", SalesTable[[#This Row],[Email]]))</f>
        <v>egypt.com</v>
      </c>
      <c r="L90" s="16" t="s">
        <v>59</v>
      </c>
    </row>
    <row r="91" spans="1:12" x14ac:dyDescent="0.3">
      <c r="A91" s="16" t="s">
        <v>174</v>
      </c>
      <c r="B91" s="18">
        <v>45350</v>
      </c>
      <c r="C91" s="20">
        <f>YEAR(SalesTable[[#This Row],[Date]])</f>
        <v>2024</v>
      </c>
      <c r="D91" s="16" t="s">
        <v>17</v>
      </c>
      <c r="E91" s="16" t="s">
        <v>18</v>
      </c>
      <c r="F91" s="16">
        <v>1</v>
      </c>
      <c r="G91" s="16">
        <v>3836.9</v>
      </c>
      <c r="H91" s="16">
        <f>SalesTable[[#This Row],[Quantity]] * SalesTable[[#This Row],[UnitPrice]]</f>
        <v>3836.9</v>
      </c>
      <c r="I91" s="16" t="s">
        <v>19</v>
      </c>
      <c r="J91" s="16" t="s">
        <v>20</v>
      </c>
      <c r="K91" s="16" t="str">
        <f>RIGHT(SalesTable[[#This Row],[Email]], LEN(SalesTable[[#This Row],[Email]]) - FIND("@", SalesTable[[#This Row],[Email]]))</f>
        <v>egypt.com</v>
      </c>
      <c r="L91" s="16" t="s">
        <v>26</v>
      </c>
    </row>
    <row r="92" spans="1:12" x14ac:dyDescent="0.3">
      <c r="A92" s="16" t="s">
        <v>175</v>
      </c>
      <c r="B92" s="18">
        <v>45489</v>
      </c>
      <c r="C92" s="20">
        <f>YEAR(SalesTable[[#This Row],[Date]])</f>
        <v>2024</v>
      </c>
      <c r="D92" s="16" t="s">
        <v>17</v>
      </c>
      <c r="E92" s="16" t="s">
        <v>18</v>
      </c>
      <c r="F92" s="16">
        <v>5</v>
      </c>
      <c r="G92" s="16">
        <v>625.85</v>
      </c>
      <c r="H92" s="16">
        <f>SalesTable[[#This Row],[Quantity]] * SalesTable[[#This Row],[UnitPrice]]</f>
        <v>3129.25</v>
      </c>
      <c r="I92" s="16" t="s">
        <v>47</v>
      </c>
      <c r="J92" s="16" t="s">
        <v>48</v>
      </c>
      <c r="K92" s="16" t="str">
        <f>RIGHT(SalesTable[[#This Row],[Email]], LEN(SalesTable[[#This Row],[Email]]) - FIND("@", SalesTable[[#This Row],[Email]]))</f>
        <v>egypt.com</v>
      </c>
      <c r="L92" s="16" t="s">
        <v>93</v>
      </c>
    </row>
    <row r="93" spans="1:12" x14ac:dyDescent="0.3">
      <c r="A93" s="16" t="s">
        <v>176</v>
      </c>
      <c r="B93" s="18">
        <v>45358</v>
      </c>
      <c r="C93" s="20">
        <f>YEAR(SalesTable[[#This Row],[Date]])</f>
        <v>2024</v>
      </c>
      <c r="D93" s="16" t="s">
        <v>83</v>
      </c>
      <c r="E93" s="16" t="s">
        <v>18</v>
      </c>
      <c r="F93" s="16">
        <v>7</v>
      </c>
      <c r="G93" s="16">
        <v>703.07</v>
      </c>
      <c r="H93" s="16">
        <f>SalesTable[[#This Row],[Quantity]] * SalesTable[[#This Row],[UnitPrice]]</f>
        <v>4921.4900000000007</v>
      </c>
      <c r="I93" s="16" t="s">
        <v>13</v>
      </c>
      <c r="J93" s="16" t="s">
        <v>14</v>
      </c>
      <c r="K93" s="16" t="str">
        <f>RIGHT(SalesTable[[#This Row],[Email]], LEN(SalesTable[[#This Row],[Email]]) - FIND("@", SalesTable[[#This Row],[Email]]))</f>
        <v>egypt.com</v>
      </c>
      <c r="L93" s="16" t="s">
        <v>21</v>
      </c>
    </row>
    <row r="94" spans="1:12" x14ac:dyDescent="0.3">
      <c r="A94" s="16" t="s">
        <v>177</v>
      </c>
      <c r="B94" s="18">
        <v>45330</v>
      </c>
      <c r="C94" s="20">
        <f>YEAR(SalesTable[[#This Row],[Date]])</f>
        <v>2024</v>
      </c>
      <c r="D94" s="16" t="s">
        <v>17</v>
      </c>
      <c r="E94" s="16" t="s">
        <v>18</v>
      </c>
      <c r="F94" s="16">
        <v>1</v>
      </c>
      <c r="G94" s="16">
        <v>513.85</v>
      </c>
      <c r="H94" s="16">
        <f>SalesTable[[#This Row],[Quantity]] * SalesTable[[#This Row],[UnitPrice]]</f>
        <v>513.85</v>
      </c>
      <c r="I94" s="16" t="s">
        <v>84</v>
      </c>
      <c r="J94" s="16" t="s">
        <v>85</v>
      </c>
      <c r="K94" s="16" t="str">
        <f>RIGHT(SalesTable[[#This Row],[Email]], LEN(SalesTable[[#This Row],[Email]]) - FIND("@", SalesTable[[#This Row],[Email]]))</f>
        <v>egypt.com</v>
      </c>
      <c r="L94" s="16" t="s">
        <v>71</v>
      </c>
    </row>
    <row r="95" spans="1:12" x14ac:dyDescent="0.3">
      <c r="A95" s="16" t="s">
        <v>178</v>
      </c>
      <c r="B95" s="18">
        <v>45465</v>
      </c>
      <c r="C95" s="20">
        <f>YEAR(SalesTable[[#This Row],[Date]])</f>
        <v>2024</v>
      </c>
      <c r="D95" s="16" t="s">
        <v>11</v>
      </c>
      <c r="E95" s="16" t="s">
        <v>12</v>
      </c>
      <c r="F95" s="16">
        <v>8</v>
      </c>
      <c r="G95" s="16">
        <v>4863.2</v>
      </c>
      <c r="H95" s="16">
        <f>SalesTable[[#This Row],[Quantity]] * SalesTable[[#This Row],[UnitPrice]]</f>
        <v>38905.599999999999</v>
      </c>
      <c r="I95" s="16" t="s">
        <v>13</v>
      </c>
      <c r="J95" s="16" t="s">
        <v>14</v>
      </c>
      <c r="K95" s="16" t="str">
        <f>RIGHT(SalesTable[[#This Row],[Email]], LEN(SalesTable[[#This Row],[Email]]) - FIND("@", SalesTable[[#This Row],[Email]]))</f>
        <v>egypt.com</v>
      </c>
      <c r="L95" s="16" t="s">
        <v>121</v>
      </c>
    </row>
    <row r="96" spans="1:12" x14ac:dyDescent="0.3">
      <c r="A96" s="16" t="s">
        <v>179</v>
      </c>
      <c r="B96" s="18">
        <v>45620</v>
      </c>
      <c r="C96" s="20">
        <f>YEAR(SalesTable[[#This Row],[Date]])</f>
        <v>2024</v>
      </c>
      <c r="D96" s="16" t="s">
        <v>63</v>
      </c>
      <c r="E96" s="16" t="s">
        <v>12</v>
      </c>
      <c r="F96" s="16">
        <v>4</v>
      </c>
      <c r="G96" s="16">
        <v>3554.34</v>
      </c>
      <c r="H96" s="16">
        <f>SalesTable[[#This Row],[Quantity]] * SalesTable[[#This Row],[UnitPrice]]</f>
        <v>14217.36</v>
      </c>
      <c r="I96" s="16" t="s">
        <v>29</v>
      </c>
      <c r="J96" s="16" t="s">
        <v>30</v>
      </c>
      <c r="K96" s="16" t="str">
        <f>RIGHT(SalesTable[[#This Row],[Email]], LEN(SalesTable[[#This Row],[Email]]) - FIND("@", SalesTable[[#This Row],[Email]]))</f>
        <v>egypt.com</v>
      </c>
      <c r="L96" s="16" t="s">
        <v>93</v>
      </c>
    </row>
    <row r="97" spans="1:12" x14ac:dyDescent="0.3">
      <c r="A97" s="16" t="s">
        <v>180</v>
      </c>
      <c r="B97" s="18">
        <v>45500</v>
      </c>
      <c r="C97" s="20">
        <f>YEAR(SalesTable[[#This Row],[Date]])</f>
        <v>2024</v>
      </c>
      <c r="D97" s="16" t="s">
        <v>91</v>
      </c>
      <c r="E97" s="16" t="s">
        <v>18</v>
      </c>
      <c r="F97" s="16">
        <v>9</v>
      </c>
      <c r="G97" s="16">
        <v>2464.1799999999998</v>
      </c>
      <c r="H97" s="16">
        <f>SalesTable[[#This Row],[Quantity]] * SalesTable[[#This Row],[UnitPrice]]</f>
        <v>22177.62</v>
      </c>
      <c r="I97" s="16" t="s">
        <v>95</v>
      </c>
      <c r="J97" s="16" t="s">
        <v>96</v>
      </c>
      <c r="K97" s="16" t="str">
        <f>RIGHT(SalesTable[[#This Row],[Email]], LEN(SalesTable[[#This Row],[Email]]) - FIND("@", SalesTable[[#This Row],[Email]]))</f>
        <v>egypt.com</v>
      </c>
      <c r="L97" s="16" t="s">
        <v>35</v>
      </c>
    </row>
    <row r="98" spans="1:12" x14ac:dyDescent="0.3">
      <c r="A98" s="16" t="s">
        <v>181</v>
      </c>
      <c r="B98" s="18">
        <v>45523</v>
      </c>
      <c r="C98" s="20">
        <f>YEAR(SalesTable[[#This Row],[Date]])</f>
        <v>2024</v>
      </c>
      <c r="D98" s="16" t="s">
        <v>83</v>
      </c>
      <c r="E98" s="16" t="s">
        <v>18</v>
      </c>
      <c r="F98" s="16">
        <v>1</v>
      </c>
      <c r="G98" s="16">
        <v>4444.71</v>
      </c>
      <c r="H98" s="16">
        <f>SalesTable[[#This Row],[Quantity]] * SalesTable[[#This Row],[UnitPrice]]</f>
        <v>4444.71</v>
      </c>
      <c r="I98" s="16" t="s">
        <v>19</v>
      </c>
      <c r="J98" s="16" t="s">
        <v>20</v>
      </c>
      <c r="K98" s="16" t="str">
        <f>RIGHT(SalesTable[[#This Row],[Email]], LEN(SalesTable[[#This Row],[Email]]) - FIND("@", SalesTable[[#This Row],[Email]]))</f>
        <v>egypt.com</v>
      </c>
      <c r="L98" s="16" t="s">
        <v>31</v>
      </c>
    </row>
    <row r="99" spans="1:12" x14ac:dyDescent="0.3">
      <c r="A99" s="16" t="s">
        <v>182</v>
      </c>
      <c r="B99" s="18">
        <v>45518</v>
      </c>
      <c r="C99" s="20">
        <f>YEAR(SalesTable[[#This Row],[Date]])</f>
        <v>2024</v>
      </c>
      <c r="D99" s="16" t="s">
        <v>23</v>
      </c>
      <c r="E99" s="16" t="s">
        <v>12</v>
      </c>
      <c r="F99" s="16">
        <v>10</v>
      </c>
      <c r="G99" s="16">
        <v>3436.22</v>
      </c>
      <c r="H99" s="16">
        <f>SalesTable[[#This Row],[Quantity]] * SalesTable[[#This Row],[UnitPrice]]</f>
        <v>34362.199999999997</v>
      </c>
      <c r="I99" s="16" t="s">
        <v>88</v>
      </c>
      <c r="J99" s="16" t="s">
        <v>89</v>
      </c>
      <c r="K99" s="16" t="str">
        <f>RIGHT(SalesTable[[#This Row],[Email]], LEN(SalesTable[[#This Row],[Email]]) - FIND("@", SalesTable[[#This Row],[Email]]))</f>
        <v>egypt.com</v>
      </c>
      <c r="L99" s="16" t="s">
        <v>93</v>
      </c>
    </row>
    <row r="100" spans="1:12" x14ac:dyDescent="0.3">
      <c r="A100" s="16" t="s">
        <v>183</v>
      </c>
      <c r="B100" s="18">
        <v>45599</v>
      </c>
      <c r="C100" s="20">
        <f>YEAR(SalesTable[[#This Row],[Date]])</f>
        <v>2024</v>
      </c>
      <c r="D100" s="16" t="s">
        <v>23</v>
      </c>
      <c r="E100" s="16" t="s">
        <v>12</v>
      </c>
      <c r="F100" s="16">
        <v>8</v>
      </c>
      <c r="G100" s="16">
        <v>3464.49</v>
      </c>
      <c r="H100" s="16">
        <f>SalesTable[[#This Row],[Quantity]] * SalesTable[[#This Row],[UnitPrice]]</f>
        <v>27715.919999999998</v>
      </c>
      <c r="I100" s="16" t="s">
        <v>24</v>
      </c>
      <c r="J100" s="16" t="s">
        <v>25</v>
      </c>
      <c r="K100" s="16" t="str">
        <f>RIGHT(SalesTable[[#This Row],[Email]], LEN(SalesTable[[#This Row],[Email]]) - FIND("@", SalesTable[[#This Row],[Email]]))</f>
        <v>egypt.com</v>
      </c>
      <c r="L100" s="16" t="s">
        <v>15</v>
      </c>
    </row>
    <row r="101" spans="1:12" x14ac:dyDescent="0.3">
      <c r="A101" s="16" t="s">
        <v>184</v>
      </c>
      <c r="B101" s="18">
        <v>45623</v>
      </c>
      <c r="C101" s="20">
        <f>YEAR(SalesTable[[#This Row],[Date]])</f>
        <v>2024</v>
      </c>
      <c r="D101" s="16" t="s">
        <v>23</v>
      </c>
      <c r="E101" s="16" t="s">
        <v>12</v>
      </c>
      <c r="F101" s="16">
        <v>6</v>
      </c>
      <c r="G101" s="16">
        <v>752.49</v>
      </c>
      <c r="H101" s="16">
        <f>SalesTable[[#This Row],[Quantity]] * SalesTable[[#This Row],[UnitPrice]]</f>
        <v>4514.9400000000005</v>
      </c>
      <c r="I101" s="16" t="s">
        <v>109</v>
      </c>
      <c r="J101" s="16" t="s">
        <v>110</v>
      </c>
      <c r="K101" s="16" t="str">
        <f>RIGHT(SalesTable[[#This Row],[Email]], LEN(SalesTable[[#This Row],[Email]]) - FIND("@", SalesTable[[#This Row],[Email]]))</f>
        <v>egypt.com</v>
      </c>
      <c r="L101" s="16" t="s">
        <v>21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"/>
  <sheetViews>
    <sheetView showGridLines="0" workbookViewId="0">
      <selection activeCell="F13" sqref="F13"/>
    </sheetView>
  </sheetViews>
  <sheetFormatPr defaultRowHeight="14.4" x14ac:dyDescent="0.3"/>
  <cols>
    <col min="1" max="1" width="15.5546875" bestFit="1" customWidth="1"/>
    <col min="2" max="2" width="13.88671875" bestFit="1" customWidth="1"/>
    <col min="3" max="3" width="13.77734375" bestFit="1" customWidth="1"/>
    <col min="4" max="5" width="17" bestFit="1" customWidth="1"/>
    <col min="6" max="6" width="15.5546875" bestFit="1" customWidth="1"/>
    <col min="7" max="7" width="10.5546875" bestFit="1" customWidth="1"/>
    <col min="8" max="8" width="21.88671875" bestFit="1" customWidth="1"/>
    <col min="9" max="9" width="10.6640625" bestFit="1" customWidth="1"/>
  </cols>
  <sheetData>
    <row r="1" spans="1:9" x14ac:dyDescent="0.3">
      <c r="A1" s="16" t="s">
        <v>185</v>
      </c>
      <c r="B1" s="16" t="s">
        <v>186</v>
      </c>
      <c r="C1" s="16" t="s">
        <v>187</v>
      </c>
      <c r="D1" s="16" t="s">
        <v>188</v>
      </c>
      <c r="E1" s="16" t="s">
        <v>189</v>
      </c>
      <c r="F1" s="16" t="s">
        <v>190</v>
      </c>
      <c r="G1" s="16" t="s">
        <v>191</v>
      </c>
      <c r="H1" s="16" t="s">
        <v>192</v>
      </c>
      <c r="I1" s="16" t="s">
        <v>193</v>
      </c>
    </row>
    <row r="2" spans="1:9" x14ac:dyDescent="0.3">
      <c r="A2" s="16" t="s">
        <v>194</v>
      </c>
      <c r="B2" s="16" t="s">
        <v>195</v>
      </c>
      <c r="C2" s="16" t="s">
        <v>196</v>
      </c>
      <c r="D2" s="17">
        <v>30001</v>
      </c>
      <c r="E2" s="17">
        <v>42793</v>
      </c>
      <c r="F2" s="16" t="s">
        <v>197</v>
      </c>
      <c r="G2" s="16">
        <v>23447</v>
      </c>
      <c r="H2" s="16">
        <v>2</v>
      </c>
      <c r="I2" s="16" t="s">
        <v>198</v>
      </c>
    </row>
    <row r="3" spans="1:9" x14ac:dyDescent="0.3">
      <c r="A3" s="16" t="s">
        <v>199</v>
      </c>
      <c r="B3" s="16" t="s">
        <v>200</v>
      </c>
      <c r="C3" s="16" t="s">
        <v>201</v>
      </c>
      <c r="D3" s="17">
        <v>34803</v>
      </c>
      <c r="E3" s="17">
        <v>42179</v>
      </c>
      <c r="F3" s="16" t="s">
        <v>197</v>
      </c>
      <c r="G3" s="16">
        <v>8983</v>
      </c>
      <c r="H3" s="16">
        <v>3</v>
      </c>
      <c r="I3" s="16" t="s">
        <v>202</v>
      </c>
    </row>
    <row r="4" spans="1:9" x14ac:dyDescent="0.3">
      <c r="A4" s="16" t="s">
        <v>203</v>
      </c>
      <c r="B4" s="16" t="s">
        <v>204</v>
      </c>
      <c r="C4" s="16" t="s">
        <v>196</v>
      </c>
      <c r="D4" s="17">
        <v>35603</v>
      </c>
      <c r="E4" s="17">
        <v>44328</v>
      </c>
      <c r="F4" s="16" t="s">
        <v>205</v>
      </c>
      <c r="G4" s="16">
        <v>10949</v>
      </c>
      <c r="H4" s="16">
        <v>3</v>
      </c>
      <c r="I4" s="16" t="s">
        <v>202</v>
      </c>
    </row>
    <row r="5" spans="1:9" x14ac:dyDescent="0.3">
      <c r="A5" s="16" t="s">
        <v>206</v>
      </c>
      <c r="B5" s="16" t="s">
        <v>207</v>
      </c>
      <c r="C5" s="16" t="s">
        <v>208</v>
      </c>
      <c r="D5" s="17">
        <v>29731</v>
      </c>
      <c r="E5" s="17">
        <v>42575</v>
      </c>
      <c r="F5" s="16" t="s">
        <v>205</v>
      </c>
      <c r="G5" s="16">
        <v>18312</v>
      </c>
      <c r="H5" s="16">
        <v>2</v>
      </c>
      <c r="I5" s="16" t="s">
        <v>209</v>
      </c>
    </row>
    <row r="6" spans="1:9" x14ac:dyDescent="0.3">
      <c r="A6" s="16" t="s">
        <v>210</v>
      </c>
      <c r="B6" s="16" t="s">
        <v>211</v>
      </c>
      <c r="C6" s="16" t="s">
        <v>212</v>
      </c>
      <c r="D6" s="17">
        <v>29881</v>
      </c>
      <c r="E6" s="17">
        <v>43031</v>
      </c>
      <c r="F6" s="16" t="s">
        <v>213</v>
      </c>
      <c r="G6" s="16">
        <v>19671</v>
      </c>
      <c r="H6" s="16">
        <v>3</v>
      </c>
      <c r="I6" s="16" t="s">
        <v>202</v>
      </c>
    </row>
    <row r="7" spans="1:9" x14ac:dyDescent="0.3">
      <c r="A7" s="16" t="s">
        <v>214</v>
      </c>
      <c r="B7" s="16" t="s">
        <v>207</v>
      </c>
      <c r="C7" s="16" t="s">
        <v>215</v>
      </c>
      <c r="D7" s="17">
        <v>36623</v>
      </c>
      <c r="E7" s="17">
        <v>45261</v>
      </c>
      <c r="F7" s="16" t="s">
        <v>216</v>
      </c>
      <c r="G7" s="16">
        <v>9345</v>
      </c>
      <c r="H7" s="16">
        <v>5</v>
      </c>
      <c r="I7" s="16" t="s">
        <v>209</v>
      </c>
    </row>
    <row r="8" spans="1:9" x14ac:dyDescent="0.3">
      <c r="A8" s="16" t="s">
        <v>217</v>
      </c>
      <c r="B8" s="16" t="s">
        <v>218</v>
      </c>
      <c r="C8" s="16" t="s">
        <v>219</v>
      </c>
      <c r="D8" s="17">
        <v>32104</v>
      </c>
      <c r="E8" s="17">
        <v>44961</v>
      </c>
      <c r="F8" s="16" t="s">
        <v>205</v>
      </c>
      <c r="G8" s="16">
        <v>23667</v>
      </c>
      <c r="H8" s="16">
        <v>5</v>
      </c>
      <c r="I8" s="16" t="s">
        <v>202</v>
      </c>
    </row>
    <row r="9" spans="1:9" x14ac:dyDescent="0.3">
      <c r="A9" s="16" t="s">
        <v>220</v>
      </c>
      <c r="B9" s="16" t="s">
        <v>221</v>
      </c>
      <c r="C9" s="16" t="s">
        <v>200</v>
      </c>
      <c r="D9" s="17">
        <v>31220</v>
      </c>
      <c r="E9" s="17">
        <v>45102</v>
      </c>
      <c r="F9" s="16" t="s">
        <v>222</v>
      </c>
      <c r="G9" s="16">
        <v>9615</v>
      </c>
      <c r="H9" s="16">
        <v>3</v>
      </c>
      <c r="I9" s="16" t="s">
        <v>209</v>
      </c>
    </row>
    <row r="10" spans="1:9" x14ac:dyDescent="0.3">
      <c r="A10" s="16" t="s">
        <v>223</v>
      </c>
      <c r="B10" s="16" t="s">
        <v>224</v>
      </c>
      <c r="C10" s="16" t="s">
        <v>225</v>
      </c>
      <c r="D10" s="17">
        <v>31797</v>
      </c>
      <c r="E10" s="17">
        <v>43525</v>
      </c>
      <c r="F10" s="16" t="s">
        <v>216</v>
      </c>
      <c r="G10" s="16">
        <v>10066</v>
      </c>
      <c r="H10" s="16">
        <v>3</v>
      </c>
      <c r="I10" s="16" t="s">
        <v>202</v>
      </c>
    </row>
    <row r="11" spans="1:9" x14ac:dyDescent="0.3">
      <c r="A11" s="16" t="s">
        <v>226</v>
      </c>
      <c r="B11" s="16" t="s">
        <v>227</v>
      </c>
      <c r="C11" s="16" t="s">
        <v>201</v>
      </c>
      <c r="D11" s="17">
        <v>34516</v>
      </c>
      <c r="E11" s="17">
        <v>43204</v>
      </c>
      <c r="F11" s="16" t="s">
        <v>205</v>
      </c>
      <c r="G11" s="16">
        <v>20787</v>
      </c>
      <c r="H11" s="16">
        <v>1</v>
      </c>
      <c r="I11" s="16" t="s">
        <v>209</v>
      </c>
    </row>
    <row r="12" spans="1:9" x14ac:dyDescent="0.3">
      <c r="A12" s="16" t="s">
        <v>228</v>
      </c>
      <c r="B12" s="16" t="s">
        <v>229</v>
      </c>
      <c r="C12" s="16" t="s">
        <v>207</v>
      </c>
      <c r="D12" s="17">
        <v>34976</v>
      </c>
      <c r="E12" s="17">
        <v>43864</v>
      </c>
      <c r="F12" s="16" t="s">
        <v>205</v>
      </c>
      <c r="G12" s="16">
        <v>10631</v>
      </c>
      <c r="H12" s="16">
        <v>4</v>
      </c>
      <c r="I12" s="16" t="s">
        <v>198</v>
      </c>
    </row>
    <row r="13" spans="1:9" x14ac:dyDescent="0.3">
      <c r="A13" s="16" t="s">
        <v>230</v>
      </c>
      <c r="B13" s="16" t="s">
        <v>231</v>
      </c>
      <c r="C13" s="16" t="s">
        <v>232</v>
      </c>
      <c r="D13" s="17">
        <v>32448</v>
      </c>
      <c r="E13" s="17">
        <v>43728</v>
      </c>
      <c r="F13" s="16" t="s">
        <v>216</v>
      </c>
      <c r="G13" s="16">
        <v>20190</v>
      </c>
      <c r="H13" s="16">
        <v>4</v>
      </c>
      <c r="I13" s="16" t="s">
        <v>198</v>
      </c>
    </row>
    <row r="14" spans="1:9" x14ac:dyDescent="0.3">
      <c r="A14" s="16" t="s">
        <v>233</v>
      </c>
      <c r="B14" s="16" t="s">
        <v>234</v>
      </c>
      <c r="C14" s="16" t="s">
        <v>232</v>
      </c>
      <c r="D14" s="17">
        <v>35289</v>
      </c>
      <c r="E14" s="17">
        <v>45241</v>
      </c>
      <c r="F14" s="16" t="s">
        <v>222</v>
      </c>
      <c r="G14" s="16">
        <v>24565</v>
      </c>
      <c r="H14" s="16">
        <v>2</v>
      </c>
      <c r="I14" s="16" t="s">
        <v>202</v>
      </c>
    </row>
    <row r="15" spans="1:9" x14ac:dyDescent="0.3">
      <c r="A15" s="16" t="s">
        <v>235</v>
      </c>
      <c r="B15" s="16" t="s">
        <v>236</v>
      </c>
      <c r="C15" s="16" t="s">
        <v>237</v>
      </c>
      <c r="D15" s="17">
        <v>35502</v>
      </c>
      <c r="E15" s="17">
        <v>45024</v>
      </c>
      <c r="F15" s="16" t="s">
        <v>197</v>
      </c>
      <c r="G15" s="16">
        <v>17746</v>
      </c>
      <c r="H15" s="16">
        <v>2</v>
      </c>
      <c r="I15" s="16" t="s">
        <v>198</v>
      </c>
    </row>
    <row r="16" spans="1:9" x14ac:dyDescent="0.3">
      <c r="A16" s="16" t="s">
        <v>238</v>
      </c>
      <c r="B16" s="16" t="s">
        <v>211</v>
      </c>
      <c r="C16" s="16" t="s">
        <v>218</v>
      </c>
      <c r="D16" s="17">
        <v>29867</v>
      </c>
      <c r="E16" s="17">
        <v>44166</v>
      </c>
      <c r="F16" s="16" t="s">
        <v>239</v>
      </c>
      <c r="G16" s="16">
        <v>14806</v>
      </c>
      <c r="H16" s="16">
        <v>1</v>
      </c>
      <c r="I16" s="16" t="s">
        <v>209</v>
      </c>
    </row>
    <row r="17" spans="1:9" x14ac:dyDescent="0.3">
      <c r="A17" s="16" t="s">
        <v>240</v>
      </c>
      <c r="B17" s="16" t="s">
        <v>231</v>
      </c>
      <c r="C17" s="16" t="s">
        <v>225</v>
      </c>
      <c r="D17" s="17">
        <v>34185</v>
      </c>
      <c r="E17" s="17">
        <v>45131</v>
      </c>
      <c r="F17" s="16" t="s">
        <v>213</v>
      </c>
      <c r="G17" s="16">
        <v>20180</v>
      </c>
      <c r="H17" s="16">
        <v>2</v>
      </c>
      <c r="I17" s="16" t="s">
        <v>198</v>
      </c>
    </row>
    <row r="18" spans="1:9" x14ac:dyDescent="0.3">
      <c r="A18" s="16" t="s">
        <v>241</v>
      </c>
      <c r="B18" s="16" t="s">
        <v>218</v>
      </c>
      <c r="C18" s="16" t="s">
        <v>200</v>
      </c>
      <c r="D18" s="17">
        <v>36723</v>
      </c>
      <c r="E18" s="17">
        <v>43091</v>
      </c>
      <c r="F18" s="16" t="s">
        <v>222</v>
      </c>
      <c r="G18" s="16">
        <v>12728</v>
      </c>
      <c r="H18" s="16">
        <v>5</v>
      </c>
      <c r="I18" s="16" t="s">
        <v>198</v>
      </c>
    </row>
    <row r="19" spans="1:9" x14ac:dyDescent="0.3">
      <c r="A19" s="16" t="s">
        <v>242</v>
      </c>
      <c r="B19" s="16" t="s">
        <v>204</v>
      </c>
      <c r="C19" s="16" t="s">
        <v>212</v>
      </c>
      <c r="D19" s="17">
        <v>33805</v>
      </c>
      <c r="E19" s="17">
        <v>43690</v>
      </c>
      <c r="F19" s="16" t="s">
        <v>216</v>
      </c>
      <c r="G19" s="16">
        <v>16783</v>
      </c>
      <c r="H19" s="16">
        <v>2</v>
      </c>
      <c r="I19" s="16" t="s">
        <v>209</v>
      </c>
    </row>
    <row r="20" spans="1:9" x14ac:dyDescent="0.3">
      <c r="A20" s="16" t="s">
        <v>243</v>
      </c>
      <c r="B20" s="16" t="s">
        <v>236</v>
      </c>
      <c r="C20" s="16" t="s">
        <v>244</v>
      </c>
      <c r="D20" s="17">
        <v>34263</v>
      </c>
      <c r="E20" s="17">
        <v>45305</v>
      </c>
      <c r="F20" s="16" t="s">
        <v>197</v>
      </c>
      <c r="G20" s="16">
        <v>9944</v>
      </c>
      <c r="H20" s="16">
        <v>1</v>
      </c>
      <c r="I20" s="16" t="s">
        <v>209</v>
      </c>
    </row>
    <row r="21" spans="1:9" x14ac:dyDescent="0.3">
      <c r="A21" s="16" t="s">
        <v>245</v>
      </c>
      <c r="B21" s="16" t="s">
        <v>246</v>
      </c>
      <c r="C21" s="16" t="s">
        <v>247</v>
      </c>
      <c r="D21" s="17">
        <v>29992</v>
      </c>
      <c r="E21" s="17">
        <v>43871</v>
      </c>
      <c r="F21" s="16" t="s">
        <v>197</v>
      </c>
      <c r="G21" s="16">
        <v>14882</v>
      </c>
      <c r="H21" s="16">
        <v>4</v>
      </c>
      <c r="I21" s="16" t="s">
        <v>202</v>
      </c>
    </row>
    <row r="22" spans="1:9" x14ac:dyDescent="0.3">
      <c r="A22" s="16" t="s">
        <v>248</v>
      </c>
      <c r="B22" s="16" t="s">
        <v>218</v>
      </c>
      <c r="C22" s="16" t="s">
        <v>201</v>
      </c>
      <c r="D22" s="17">
        <v>29326</v>
      </c>
      <c r="E22" s="17">
        <v>43665</v>
      </c>
      <c r="F22" s="16" t="s">
        <v>197</v>
      </c>
      <c r="G22" s="16">
        <v>13524</v>
      </c>
      <c r="H22" s="16">
        <v>2</v>
      </c>
      <c r="I22" s="16" t="s">
        <v>202</v>
      </c>
    </row>
    <row r="23" spans="1:9" x14ac:dyDescent="0.3">
      <c r="A23" s="16" t="s">
        <v>249</v>
      </c>
      <c r="B23" s="16" t="s">
        <v>250</v>
      </c>
      <c r="C23" s="16" t="s">
        <v>207</v>
      </c>
      <c r="D23" s="17">
        <v>29591</v>
      </c>
      <c r="E23" s="17">
        <v>43940</v>
      </c>
      <c r="F23" s="16" t="s">
        <v>205</v>
      </c>
      <c r="G23" s="16">
        <v>23405</v>
      </c>
      <c r="H23" s="16">
        <v>4</v>
      </c>
      <c r="I23" s="16" t="s">
        <v>198</v>
      </c>
    </row>
    <row r="24" spans="1:9" x14ac:dyDescent="0.3">
      <c r="A24" s="16" t="s">
        <v>251</v>
      </c>
      <c r="B24" s="16" t="s">
        <v>204</v>
      </c>
      <c r="C24" s="16" t="s">
        <v>207</v>
      </c>
      <c r="D24" s="17">
        <v>36548</v>
      </c>
      <c r="E24" s="17">
        <v>42544</v>
      </c>
      <c r="F24" s="16" t="s">
        <v>205</v>
      </c>
      <c r="G24" s="16">
        <v>23580</v>
      </c>
      <c r="H24" s="16">
        <v>3</v>
      </c>
      <c r="I24" s="16" t="s">
        <v>209</v>
      </c>
    </row>
    <row r="25" spans="1:9" x14ac:dyDescent="0.3">
      <c r="A25" s="16" t="s">
        <v>252</v>
      </c>
      <c r="B25" s="16" t="s">
        <v>224</v>
      </c>
      <c r="C25" s="16" t="s">
        <v>218</v>
      </c>
      <c r="D25" s="17">
        <v>29315</v>
      </c>
      <c r="E25" s="17">
        <v>43587</v>
      </c>
      <c r="F25" s="16" t="s">
        <v>239</v>
      </c>
      <c r="G25" s="16">
        <v>24424</v>
      </c>
      <c r="H25" s="16">
        <v>3</v>
      </c>
      <c r="I25" s="16" t="s">
        <v>209</v>
      </c>
    </row>
    <row r="26" spans="1:9" x14ac:dyDescent="0.3">
      <c r="A26" s="16" t="s">
        <v>253</v>
      </c>
      <c r="B26" s="16" t="s">
        <v>229</v>
      </c>
      <c r="C26" s="16" t="s">
        <v>232</v>
      </c>
      <c r="D26" s="17">
        <v>32594</v>
      </c>
      <c r="E26" s="17">
        <v>44363</v>
      </c>
      <c r="F26" s="16" t="s">
        <v>213</v>
      </c>
      <c r="G26" s="16">
        <v>14822</v>
      </c>
      <c r="H26" s="16">
        <v>4</v>
      </c>
      <c r="I26" s="16" t="s">
        <v>202</v>
      </c>
    </row>
    <row r="27" spans="1:9" x14ac:dyDescent="0.3">
      <c r="A27" s="16" t="s">
        <v>254</v>
      </c>
      <c r="B27" s="16" t="s">
        <v>246</v>
      </c>
      <c r="C27" s="16" t="s">
        <v>255</v>
      </c>
      <c r="D27" s="17">
        <v>35220</v>
      </c>
      <c r="E27" s="17">
        <v>44183</v>
      </c>
      <c r="F27" s="16" t="s">
        <v>239</v>
      </c>
      <c r="G27" s="16">
        <v>13177</v>
      </c>
      <c r="H27" s="16">
        <v>3</v>
      </c>
      <c r="I27" s="16" t="s">
        <v>209</v>
      </c>
    </row>
    <row r="28" spans="1:9" x14ac:dyDescent="0.3">
      <c r="A28" s="16" t="s">
        <v>256</v>
      </c>
      <c r="B28" s="16" t="s">
        <v>257</v>
      </c>
      <c r="C28" s="16" t="s">
        <v>196</v>
      </c>
      <c r="D28" s="17">
        <v>31098</v>
      </c>
      <c r="E28" s="17">
        <v>44979</v>
      </c>
      <c r="F28" s="16" t="s">
        <v>197</v>
      </c>
      <c r="G28" s="16">
        <v>8083</v>
      </c>
      <c r="H28" s="16">
        <v>2</v>
      </c>
      <c r="I28" s="16" t="s">
        <v>198</v>
      </c>
    </row>
    <row r="29" spans="1:9" x14ac:dyDescent="0.3">
      <c r="A29" s="16" t="s">
        <v>258</v>
      </c>
      <c r="B29" s="16" t="s">
        <v>259</v>
      </c>
      <c r="C29" s="16" t="s">
        <v>212</v>
      </c>
      <c r="D29" s="17">
        <v>36039</v>
      </c>
      <c r="E29" s="17">
        <v>45345</v>
      </c>
      <c r="F29" s="16" t="s">
        <v>197</v>
      </c>
      <c r="G29" s="16">
        <v>14386</v>
      </c>
      <c r="H29" s="16">
        <v>2</v>
      </c>
      <c r="I29" s="16" t="s">
        <v>202</v>
      </c>
    </row>
    <row r="30" spans="1:9" x14ac:dyDescent="0.3">
      <c r="A30" s="16" t="s">
        <v>260</v>
      </c>
      <c r="B30" s="16" t="s">
        <v>204</v>
      </c>
      <c r="C30" s="16" t="s">
        <v>218</v>
      </c>
      <c r="D30" s="17">
        <v>36122</v>
      </c>
      <c r="E30" s="17">
        <v>43967</v>
      </c>
      <c r="F30" s="16" t="s">
        <v>239</v>
      </c>
      <c r="G30" s="16">
        <v>18139</v>
      </c>
      <c r="H30" s="16">
        <v>4</v>
      </c>
      <c r="I30" s="16" t="s">
        <v>198</v>
      </c>
    </row>
    <row r="31" spans="1:9" x14ac:dyDescent="0.3">
      <c r="A31" s="16" t="s">
        <v>261</v>
      </c>
      <c r="B31" s="16" t="s">
        <v>218</v>
      </c>
      <c r="C31" s="16" t="s">
        <v>218</v>
      </c>
      <c r="D31" s="17">
        <v>35165</v>
      </c>
      <c r="E31" s="17">
        <v>43641</v>
      </c>
      <c r="F31" s="16" t="s">
        <v>197</v>
      </c>
      <c r="G31" s="16">
        <v>22117</v>
      </c>
      <c r="H31" s="16">
        <v>4</v>
      </c>
      <c r="I31" s="16" t="s">
        <v>198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showGridLines="0" workbookViewId="0"/>
  </sheetViews>
  <sheetFormatPr defaultRowHeight="14.4" x14ac:dyDescent="0.3"/>
  <cols>
    <col min="1" max="1" width="14.88671875" bestFit="1" customWidth="1"/>
    <col min="2" max="2" width="14.33203125" bestFit="1" customWidth="1"/>
    <col min="3" max="3" width="14.109375" bestFit="1" customWidth="1"/>
    <col min="4" max="4" width="11.5546875" bestFit="1" customWidth="1"/>
    <col min="5" max="5" width="13.109375" bestFit="1" customWidth="1"/>
    <col min="6" max="6" width="14.44140625" bestFit="1" customWidth="1"/>
    <col min="7" max="7" width="14.6640625" bestFit="1" customWidth="1"/>
  </cols>
  <sheetData>
    <row r="1" spans="1:7" x14ac:dyDescent="0.3">
      <c r="A1" s="16" t="s">
        <v>351</v>
      </c>
      <c r="B1" s="16" t="s">
        <v>239</v>
      </c>
      <c r="C1" s="16" t="s">
        <v>197</v>
      </c>
      <c r="D1" s="16" t="s">
        <v>216</v>
      </c>
      <c r="E1" s="16" t="s">
        <v>213</v>
      </c>
      <c r="F1" s="16" t="s">
        <v>222</v>
      </c>
      <c r="G1" s="16" t="s">
        <v>205</v>
      </c>
    </row>
    <row r="2" spans="1:7" x14ac:dyDescent="0.3">
      <c r="A2" s="16" t="s">
        <v>352</v>
      </c>
      <c r="B2" s="16" t="s">
        <v>262</v>
      </c>
      <c r="C2" s="16" t="s">
        <v>263</v>
      </c>
      <c r="D2" s="16" t="s">
        <v>264</v>
      </c>
      <c r="E2" s="16" t="s">
        <v>265</v>
      </c>
      <c r="F2" s="16" t="s">
        <v>266</v>
      </c>
      <c r="G2" s="16" t="s">
        <v>267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2"/>
  <sheetViews>
    <sheetView workbookViewId="0">
      <selection activeCell="I11" sqref="I11"/>
    </sheetView>
  </sheetViews>
  <sheetFormatPr defaultRowHeight="14.4" x14ac:dyDescent="0.3"/>
  <cols>
    <col min="1" max="1" width="13.88671875" bestFit="1" customWidth="1"/>
    <col min="2" max="2" width="20.44140625" bestFit="1" customWidth="1"/>
    <col min="3" max="4" width="16.44140625" bestFit="1" customWidth="1"/>
    <col min="5" max="5" width="15.44140625" bestFit="1" customWidth="1"/>
    <col min="6" max="6" width="15" bestFit="1" customWidth="1"/>
  </cols>
  <sheetData>
    <row r="1" spans="1:6" x14ac:dyDescent="0.3">
      <c r="A1" s="16" t="s">
        <v>268</v>
      </c>
      <c r="B1" s="16" t="s">
        <v>269</v>
      </c>
      <c r="C1" s="16" t="s">
        <v>270</v>
      </c>
      <c r="D1" s="16" t="s">
        <v>271</v>
      </c>
      <c r="E1" s="16" t="s">
        <v>272</v>
      </c>
      <c r="F1" s="16" t="s">
        <v>273</v>
      </c>
    </row>
    <row r="2" spans="1:6" x14ac:dyDescent="0.3">
      <c r="A2" s="16" t="s">
        <v>274</v>
      </c>
      <c r="B2" s="16" t="s">
        <v>275</v>
      </c>
      <c r="C2" s="16">
        <v>196</v>
      </c>
      <c r="D2" s="16">
        <v>39</v>
      </c>
      <c r="E2" s="16">
        <v>1157.48</v>
      </c>
      <c r="F2" s="16">
        <v>1364.39</v>
      </c>
    </row>
    <row r="3" spans="1:6" x14ac:dyDescent="0.3">
      <c r="A3" s="16" t="s">
        <v>276</v>
      </c>
      <c r="B3" s="16" t="s">
        <v>277</v>
      </c>
      <c r="C3" s="16">
        <v>106</v>
      </c>
      <c r="D3" s="16">
        <v>34</v>
      </c>
      <c r="E3" s="16">
        <v>454.44</v>
      </c>
      <c r="F3" s="16">
        <v>666.38</v>
      </c>
    </row>
    <row r="4" spans="1:6" x14ac:dyDescent="0.3">
      <c r="A4" s="16" t="s">
        <v>278</v>
      </c>
      <c r="B4" s="16" t="s">
        <v>279</v>
      </c>
      <c r="C4" s="16">
        <v>143</v>
      </c>
      <c r="D4" s="16">
        <v>17</v>
      </c>
      <c r="E4" s="16">
        <v>1200.1400000000001</v>
      </c>
      <c r="F4" s="16">
        <v>1655.78</v>
      </c>
    </row>
    <row r="5" spans="1:6" x14ac:dyDescent="0.3">
      <c r="A5" s="16" t="s">
        <v>280</v>
      </c>
      <c r="B5" s="16" t="s">
        <v>281</v>
      </c>
      <c r="C5" s="16">
        <v>30</v>
      </c>
      <c r="D5" s="16">
        <v>35</v>
      </c>
      <c r="E5" s="16">
        <v>1114.1099999999999</v>
      </c>
      <c r="F5" s="16">
        <v>1525.88</v>
      </c>
    </row>
    <row r="6" spans="1:6" x14ac:dyDescent="0.3">
      <c r="A6" s="16" t="s">
        <v>282</v>
      </c>
      <c r="B6" s="16" t="s">
        <v>283</v>
      </c>
      <c r="C6" s="16">
        <v>167</v>
      </c>
      <c r="D6" s="16">
        <v>48</v>
      </c>
      <c r="E6" s="16">
        <v>546.80999999999995</v>
      </c>
      <c r="F6" s="16">
        <v>702.42</v>
      </c>
    </row>
    <row r="7" spans="1:6" x14ac:dyDescent="0.3">
      <c r="A7" s="16" t="s">
        <v>284</v>
      </c>
      <c r="B7" s="16" t="s">
        <v>285</v>
      </c>
      <c r="C7" s="16">
        <v>139</v>
      </c>
      <c r="D7" s="16">
        <v>37</v>
      </c>
      <c r="E7" s="16">
        <v>2046.35</v>
      </c>
      <c r="F7" s="16">
        <v>3040.26</v>
      </c>
    </row>
    <row r="8" spans="1:6" x14ac:dyDescent="0.3">
      <c r="A8" s="16" t="s">
        <v>286</v>
      </c>
      <c r="B8" s="16" t="s">
        <v>285</v>
      </c>
      <c r="C8" s="16">
        <v>57</v>
      </c>
      <c r="D8" s="16">
        <v>20</v>
      </c>
      <c r="E8" s="16">
        <v>1625.13</v>
      </c>
      <c r="F8" s="16">
        <v>1804.95</v>
      </c>
    </row>
    <row r="9" spans="1:6" x14ac:dyDescent="0.3">
      <c r="A9" s="16" t="s">
        <v>287</v>
      </c>
      <c r="B9" s="16" t="s">
        <v>279</v>
      </c>
      <c r="C9" s="16">
        <v>84</v>
      </c>
      <c r="D9" s="16">
        <v>12</v>
      </c>
      <c r="E9" s="16">
        <v>1593.15</v>
      </c>
      <c r="F9" s="16">
        <v>2306.94</v>
      </c>
    </row>
    <row r="10" spans="1:6" x14ac:dyDescent="0.3">
      <c r="A10" s="16" t="s">
        <v>288</v>
      </c>
      <c r="B10" s="16" t="s">
        <v>289</v>
      </c>
      <c r="C10" s="16">
        <v>197</v>
      </c>
      <c r="D10" s="16">
        <v>34</v>
      </c>
      <c r="E10" s="16">
        <v>317.17</v>
      </c>
      <c r="F10" s="16">
        <v>460.2</v>
      </c>
    </row>
    <row r="11" spans="1:6" x14ac:dyDescent="0.3">
      <c r="A11" s="16" t="s">
        <v>290</v>
      </c>
      <c r="B11" s="16" t="s">
        <v>291</v>
      </c>
      <c r="C11" s="16">
        <v>133</v>
      </c>
      <c r="D11" s="16">
        <v>47</v>
      </c>
      <c r="E11" s="16">
        <v>2477.0100000000002</v>
      </c>
      <c r="F11" s="16">
        <v>3630.79</v>
      </c>
    </row>
    <row r="12" spans="1:6" x14ac:dyDescent="0.3">
      <c r="A12" s="16" t="s">
        <v>292</v>
      </c>
      <c r="B12" s="16" t="s">
        <v>293</v>
      </c>
      <c r="C12" s="16">
        <v>38</v>
      </c>
      <c r="D12" s="16">
        <v>26</v>
      </c>
      <c r="E12" s="16">
        <v>951.38</v>
      </c>
      <c r="F12" s="16">
        <v>1047.8399999999999</v>
      </c>
    </row>
    <row r="13" spans="1:6" x14ac:dyDescent="0.3">
      <c r="A13" s="16" t="s">
        <v>294</v>
      </c>
      <c r="B13" s="16" t="s">
        <v>295</v>
      </c>
      <c r="C13" s="16">
        <v>199</v>
      </c>
      <c r="D13" s="16">
        <v>13</v>
      </c>
      <c r="E13" s="16">
        <v>1288.1099999999999</v>
      </c>
      <c r="F13" s="16">
        <v>1748.08</v>
      </c>
    </row>
    <row r="14" spans="1:6" x14ac:dyDescent="0.3">
      <c r="A14" s="16" t="s">
        <v>296</v>
      </c>
      <c r="B14" s="16" t="s">
        <v>275</v>
      </c>
      <c r="C14" s="16">
        <v>77</v>
      </c>
      <c r="D14" s="16">
        <v>43</v>
      </c>
      <c r="E14" s="16">
        <v>1629.29</v>
      </c>
      <c r="F14" s="16">
        <v>2207.94</v>
      </c>
    </row>
    <row r="15" spans="1:6" x14ac:dyDescent="0.3">
      <c r="A15" s="16" t="s">
        <v>297</v>
      </c>
      <c r="B15" s="16" t="s">
        <v>283</v>
      </c>
      <c r="C15" s="16">
        <v>16</v>
      </c>
      <c r="D15" s="16">
        <v>47</v>
      </c>
      <c r="E15" s="16">
        <v>2111.65</v>
      </c>
      <c r="F15" s="16">
        <v>3068.95</v>
      </c>
    </row>
    <row r="16" spans="1:6" x14ac:dyDescent="0.3">
      <c r="A16" s="16" t="s">
        <v>298</v>
      </c>
      <c r="B16" s="16" t="s">
        <v>293</v>
      </c>
      <c r="C16" s="16">
        <v>57</v>
      </c>
      <c r="D16" s="16">
        <v>23</v>
      </c>
      <c r="E16" s="16">
        <v>1799.62</v>
      </c>
      <c r="F16" s="16">
        <v>2081.9699999999998</v>
      </c>
    </row>
    <row r="17" spans="1:6" x14ac:dyDescent="0.3">
      <c r="A17" s="16" t="s">
        <v>299</v>
      </c>
      <c r="B17" s="16" t="s">
        <v>289</v>
      </c>
      <c r="C17" s="16">
        <v>95</v>
      </c>
      <c r="D17" s="16">
        <v>48</v>
      </c>
      <c r="E17" s="16">
        <v>1187.71</v>
      </c>
      <c r="F17" s="16">
        <v>1342.5</v>
      </c>
    </row>
    <row r="18" spans="1:6" x14ac:dyDescent="0.3">
      <c r="A18" s="16" t="s">
        <v>300</v>
      </c>
      <c r="B18" s="16" t="s">
        <v>301</v>
      </c>
      <c r="C18" s="16">
        <v>120</v>
      </c>
      <c r="D18" s="16">
        <v>28</v>
      </c>
      <c r="E18" s="16">
        <v>65.86</v>
      </c>
      <c r="F18" s="16">
        <v>93.02</v>
      </c>
    </row>
    <row r="19" spans="1:6" x14ac:dyDescent="0.3">
      <c r="A19" s="16" t="s">
        <v>302</v>
      </c>
      <c r="B19" s="16" t="s">
        <v>303</v>
      </c>
      <c r="C19" s="16">
        <v>110</v>
      </c>
      <c r="D19" s="16">
        <v>26</v>
      </c>
      <c r="E19" s="16">
        <v>1905.31</v>
      </c>
      <c r="F19" s="16">
        <v>2642.42</v>
      </c>
    </row>
    <row r="20" spans="1:6" x14ac:dyDescent="0.3">
      <c r="A20" s="16" t="s">
        <v>304</v>
      </c>
      <c r="B20" s="16" t="s">
        <v>305</v>
      </c>
      <c r="C20" s="16">
        <v>126</v>
      </c>
      <c r="D20" s="16">
        <v>12</v>
      </c>
      <c r="E20" s="16">
        <v>1615.61</v>
      </c>
      <c r="F20" s="16">
        <v>2039.38</v>
      </c>
    </row>
    <row r="21" spans="1:6" x14ac:dyDescent="0.3">
      <c r="A21" s="16" t="s">
        <v>306</v>
      </c>
      <c r="B21" s="16" t="s">
        <v>307</v>
      </c>
      <c r="C21" s="16">
        <v>162</v>
      </c>
      <c r="D21" s="16">
        <v>25</v>
      </c>
      <c r="E21" s="16">
        <v>1606.66</v>
      </c>
      <c r="F21" s="16">
        <v>2051.9299999999998</v>
      </c>
    </row>
    <row r="22" spans="1:6" x14ac:dyDescent="0.3">
      <c r="A22" s="16" t="s">
        <v>308</v>
      </c>
      <c r="B22" s="16" t="s">
        <v>277</v>
      </c>
      <c r="C22" s="16">
        <v>71</v>
      </c>
      <c r="D22" s="16">
        <v>39</v>
      </c>
      <c r="E22" s="16">
        <v>2098.96</v>
      </c>
      <c r="F22" s="16">
        <v>2706.12</v>
      </c>
    </row>
    <row r="23" spans="1:6" x14ac:dyDescent="0.3">
      <c r="A23" s="16" t="s">
        <v>309</v>
      </c>
      <c r="B23" s="16" t="s">
        <v>310</v>
      </c>
      <c r="C23" s="16">
        <v>192</v>
      </c>
      <c r="D23" s="16">
        <v>27</v>
      </c>
      <c r="E23" s="16">
        <v>337.29</v>
      </c>
      <c r="F23" s="16">
        <v>468.13</v>
      </c>
    </row>
    <row r="24" spans="1:6" x14ac:dyDescent="0.3">
      <c r="A24" s="16" t="s">
        <v>311</v>
      </c>
      <c r="B24" s="16" t="s">
        <v>283</v>
      </c>
      <c r="C24" s="16">
        <v>41</v>
      </c>
      <c r="D24" s="16">
        <v>35</v>
      </c>
      <c r="E24" s="16">
        <v>460.21</v>
      </c>
      <c r="F24" s="16">
        <v>539.22</v>
      </c>
    </row>
    <row r="25" spans="1:6" x14ac:dyDescent="0.3">
      <c r="A25" s="16" t="s">
        <v>312</v>
      </c>
      <c r="B25" s="16" t="s">
        <v>293</v>
      </c>
      <c r="C25" s="16">
        <v>35</v>
      </c>
      <c r="D25" s="16">
        <v>39</v>
      </c>
      <c r="E25" s="16">
        <v>1322.63</v>
      </c>
      <c r="F25" s="16">
        <v>1888.7</v>
      </c>
    </row>
    <row r="26" spans="1:6" x14ac:dyDescent="0.3">
      <c r="A26" s="16" t="s">
        <v>313</v>
      </c>
      <c r="B26" s="16" t="s">
        <v>301</v>
      </c>
      <c r="C26" s="16">
        <v>102</v>
      </c>
      <c r="D26" s="16">
        <v>41</v>
      </c>
      <c r="E26" s="16">
        <v>512.17999999999995</v>
      </c>
      <c r="F26" s="16">
        <v>754.23</v>
      </c>
    </row>
    <row r="27" spans="1:6" x14ac:dyDescent="0.3">
      <c r="A27" s="16" t="s">
        <v>314</v>
      </c>
      <c r="B27" s="16" t="s">
        <v>315</v>
      </c>
      <c r="C27" s="16">
        <v>105</v>
      </c>
      <c r="D27" s="16">
        <v>41</v>
      </c>
      <c r="E27" s="16">
        <v>776.05</v>
      </c>
      <c r="F27" s="16">
        <v>893.22</v>
      </c>
    </row>
    <row r="28" spans="1:6" x14ac:dyDescent="0.3">
      <c r="A28" s="16" t="s">
        <v>316</v>
      </c>
      <c r="B28" s="16" t="s">
        <v>277</v>
      </c>
      <c r="C28" s="16">
        <v>185</v>
      </c>
      <c r="D28" s="16">
        <v>26</v>
      </c>
      <c r="E28" s="16">
        <v>104.29</v>
      </c>
      <c r="F28" s="16">
        <v>128.44999999999999</v>
      </c>
    </row>
    <row r="29" spans="1:6" x14ac:dyDescent="0.3">
      <c r="A29" s="16" t="s">
        <v>317</v>
      </c>
      <c r="B29" s="16" t="s">
        <v>307</v>
      </c>
      <c r="C29" s="16">
        <v>168</v>
      </c>
      <c r="D29" s="16">
        <v>27</v>
      </c>
      <c r="E29" s="16">
        <v>674.22</v>
      </c>
      <c r="F29" s="16">
        <v>995.35</v>
      </c>
    </row>
    <row r="30" spans="1:6" x14ac:dyDescent="0.3">
      <c r="A30" s="16" t="s">
        <v>318</v>
      </c>
      <c r="B30" s="16" t="s">
        <v>305</v>
      </c>
      <c r="C30" s="16">
        <v>39</v>
      </c>
      <c r="D30" s="16">
        <v>50</v>
      </c>
      <c r="E30" s="16">
        <v>1888.48</v>
      </c>
      <c r="F30" s="16">
        <v>2373.98</v>
      </c>
    </row>
    <row r="31" spans="1:6" x14ac:dyDescent="0.3">
      <c r="A31" s="16" t="s">
        <v>319</v>
      </c>
      <c r="B31" s="16" t="s">
        <v>281</v>
      </c>
      <c r="C31" s="16">
        <v>91</v>
      </c>
      <c r="D31" s="16">
        <v>39</v>
      </c>
      <c r="E31" s="16">
        <v>263.41000000000003</v>
      </c>
      <c r="F31" s="16">
        <v>308.41000000000003</v>
      </c>
    </row>
    <row r="32" spans="1:6" x14ac:dyDescent="0.3">
      <c r="A32" s="16" t="s">
        <v>320</v>
      </c>
      <c r="B32" s="16" t="s">
        <v>283</v>
      </c>
      <c r="C32" s="16">
        <v>150</v>
      </c>
      <c r="D32" s="16">
        <v>43</v>
      </c>
      <c r="E32" s="16">
        <v>1759.07</v>
      </c>
      <c r="F32" s="16">
        <v>2276.62</v>
      </c>
    </row>
    <row r="33" spans="1:6" x14ac:dyDescent="0.3">
      <c r="A33" s="16" t="s">
        <v>321</v>
      </c>
      <c r="B33" s="16" t="s">
        <v>293</v>
      </c>
      <c r="C33" s="16">
        <v>56</v>
      </c>
      <c r="D33" s="16">
        <v>24</v>
      </c>
      <c r="E33" s="16">
        <v>1187.56</v>
      </c>
      <c r="F33" s="16">
        <v>1361.95</v>
      </c>
    </row>
    <row r="34" spans="1:6" x14ac:dyDescent="0.3">
      <c r="A34" s="16" t="s">
        <v>322</v>
      </c>
      <c r="B34" s="16" t="s">
        <v>323</v>
      </c>
      <c r="C34" s="16">
        <v>63</v>
      </c>
      <c r="D34" s="16">
        <v>40</v>
      </c>
      <c r="E34" s="16">
        <v>1026.1199999999999</v>
      </c>
      <c r="F34" s="16">
        <v>1536.42</v>
      </c>
    </row>
    <row r="35" spans="1:6" x14ac:dyDescent="0.3">
      <c r="A35" s="16" t="s">
        <v>324</v>
      </c>
      <c r="B35" s="16" t="s">
        <v>279</v>
      </c>
      <c r="C35" s="16">
        <v>26</v>
      </c>
      <c r="D35" s="16">
        <v>45</v>
      </c>
      <c r="E35" s="16">
        <v>1774.37</v>
      </c>
      <c r="F35" s="16">
        <v>2343.67</v>
      </c>
    </row>
    <row r="36" spans="1:6" x14ac:dyDescent="0.3">
      <c r="A36" s="16" t="s">
        <v>325</v>
      </c>
      <c r="B36" s="16" t="s">
        <v>289</v>
      </c>
      <c r="C36" s="16">
        <v>38</v>
      </c>
      <c r="D36" s="16">
        <v>34</v>
      </c>
      <c r="E36" s="16">
        <v>2433.2199999999998</v>
      </c>
      <c r="F36" s="16">
        <v>3067.33</v>
      </c>
    </row>
    <row r="37" spans="1:6" x14ac:dyDescent="0.3">
      <c r="A37" s="16" t="s">
        <v>326</v>
      </c>
      <c r="B37" s="16" t="s">
        <v>285</v>
      </c>
      <c r="C37" s="16">
        <v>175</v>
      </c>
      <c r="D37" s="16">
        <v>22</v>
      </c>
      <c r="E37" s="16">
        <v>612.16</v>
      </c>
      <c r="F37" s="16">
        <v>789.72</v>
      </c>
    </row>
    <row r="38" spans="1:6" x14ac:dyDescent="0.3">
      <c r="A38" s="16" t="s">
        <v>327</v>
      </c>
      <c r="B38" s="16" t="s">
        <v>283</v>
      </c>
      <c r="C38" s="16">
        <v>129</v>
      </c>
      <c r="D38" s="16">
        <v>32</v>
      </c>
      <c r="E38" s="16">
        <v>2099.98</v>
      </c>
      <c r="F38" s="16">
        <v>2450.92</v>
      </c>
    </row>
    <row r="39" spans="1:6" x14ac:dyDescent="0.3">
      <c r="A39" s="16" t="s">
        <v>328</v>
      </c>
      <c r="B39" s="16" t="s">
        <v>277</v>
      </c>
      <c r="C39" s="16">
        <v>56</v>
      </c>
      <c r="D39" s="16">
        <v>37</v>
      </c>
      <c r="E39" s="16">
        <v>1496.14</v>
      </c>
      <c r="F39" s="16">
        <v>1707.09</v>
      </c>
    </row>
    <row r="40" spans="1:6" x14ac:dyDescent="0.3">
      <c r="A40" s="16" t="s">
        <v>329</v>
      </c>
      <c r="B40" s="16" t="s">
        <v>289</v>
      </c>
      <c r="C40" s="16">
        <v>21</v>
      </c>
      <c r="D40" s="16">
        <v>32</v>
      </c>
      <c r="E40" s="16">
        <v>517.16999999999996</v>
      </c>
      <c r="F40" s="16">
        <v>593.35</v>
      </c>
    </row>
    <row r="41" spans="1:6" x14ac:dyDescent="0.3">
      <c r="A41" s="16" t="s">
        <v>330</v>
      </c>
      <c r="B41" s="16" t="s">
        <v>293</v>
      </c>
      <c r="C41" s="16">
        <v>127</v>
      </c>
      <c r="D41" s="16">
        <v>23</v>
      </c>
      <c r="E41" s="16">
        <v>1419.91</v>
      </c>
      <c r="F41" s="16">
        <v>1644.02</v>
      </c>
    </row>
    <row r="42" spans="1:6" x14ac:dyDescent="0.3">
      <c r="A42" s="16" t="s">
        <v>331</v>
      </c>
      <c r="B42" s="16" t="s">
        <v>277</v>
      </c>
      <c r="C42" s="16">
        <v>70</v>
      </c>
      <c r="D42" s="16">
        <v>49</v>
      </c>
      <c r="E42" s="16">
        <v>1790.94</v>
      </c>
      <c r="F42" s="16">
        <v>2323.16</v>
      </c>
    </row>
    <row r="43" spans="1:6" x14ac:dyDescent="0.3">
      <c r="A43" s="16" t="s">
        <v>332</v>
      </c>
      <c r="B43" s="16" t="s">
        <v>279</v>
      </c>
      <c r="C43" s="16">
        <v>95</v>
      </c>
      <c r="D43" s="16">
        <v>44</v>
      </c>
      <c r="E43" s="16">
        <v>399.67</v>
      </c>
      <c r="F43" s="16">
        <v>493.8</v>
      </c>
    </row>
    <row r="44" spans="1:6" x14ac:dyDescent="0.3">
      <c r="A44" s="16" t="s">
        <v>333</v>
      </c>
      <c r="B44" s="16" t="s">
        <v>334</v>
      </c>
      <c r="C44" s="16">
        <v>86</v>
      </c>
      <c r="D44" s="16">
        <v>15</v>
      </c>
      <c r="E44" s="16">
        <v>2270.09</v>
      </c>
      <c r="F44" s="16">
        <v>3125.82</v>
      </c>
    </row>
    <row r="45" spans="1:6" x14ac:dyDescent="0.3">
      <c r="A45" s="16" t="s">
        <v>335</v>
      </c>
      <c r="B45" s="16" t="s">
        <v>295</v>
      </c>
      <c r="C45" s="16">
        <v>71</v>
      </c>
      <c r="D45" s="16">
        <v>30</v>
      </c>
      <c r="E45" s="16">
        <v>2280.98</v>
      </c>
      <c r="F45" s="16">
        <v>3040.92</v>
      </c>
    </row>
    <row r="46" spans="1:6" x14ac:dyDescent="0.3">
      <c r="A46" s="16" t="s">
        <v>336</v>
      </c>
      <c r="B46" s="16" t="s">
        <v>310</v>
      </c>
      <c r="C46" s="16">
        <v>33</v>
      </c>
      <c r="D46" s="16">
        <v>25</v>
      </c>
      <c r="E46" s="16">
        <v>1731.67</v>
      </c>
      <c r="F46" s="16">
        <v>2345.9499999999998</v>
      </c>
    </row>
    <row r="47" spans="1:6" x14ac:dyDescent="0.3">
      <c r="A47" s="16" t="s">
        <v>337</v>
      </c>
      <c r="B47" s="16" t="s">
        <v>338</v>
      </c>
      <c r="C47" s="16">
        <v>121</v>
      </c>
      <c r="D47" s="16">
        <v>39</v>
      </c>
      <c r="E47" s="16">
        <v>615.1</v>
      </c>
      <c r="F47" s="16">
        <v>872.64</v>
      </c>
    </row>
    <row r="48" spans="1:6" x14ac:dyDescent="0.3">
      <c r="A48" s="16" t="s">
        <v>339</v>
      </c>
      <c r="B48" s="16" t="s">
        <v>295</v>
      </c>
      <c r="C48" s="16">
        <v>179</v>
      </c>
      <c r="D48" s="16">
        <v>12</v>
      </c>
      <c r="E48" s="16">
        <v>1606.36</v>
      </c>
      <c r="F48" s="16">
        <v>1986.83</v>
      </c>
    </row>
    <row r="49" spans="1:6" x14ac:dyDescent="0.3">
      <c r="A49" s="16" t="s">
        <v>340</v>
      </c>
      <c r="B49" s="16" t="s">
        <v>303</v>
      </c>
      <c r="C49" s="16">
        <v>75</v>
      </c>
      <c r="D49" s="16">
        <v>44</v>
      </c>
      <c r="E49" s="16">
        <v>1425.04</v>
      </c>
      <c r="F49" s="16">
        <v>1716.14</v>
      </c>
    </row>
    <row r="50" spans="1:6" x14ac:dyDescent="0.3">
      <c r="A50" s="16" t="s">
        <v>341</v>
      </c>
      <c r="B50" s="16" t="s">
        <v>342</v>
      </c>
      <c r="C50" s="16">
        <v>151</v>
      </c>
      <c r="D50" s="16">
        <v>19</v>
      </c>
      <c r="E50" s="16">
        <v>1481.18</v>
      </c>
      <c r="F50" s="16">
        <v>1660.13</v>
      </c>
    </row>
    <row r="51" spans="1:6" x14ac:dyDescent="0.3">
      <c r="A51" s="16" t="s">
        <v>343</v>
      </c>
      <c r="B51" s="16" t="s">
        <v>275</v>
      </c>
      <c r="C51" s="16">
        <v>184</v>
      </c>
      <c r="D51" s="16">
        <v>50</v>
      </c>
      <c r="E51" s="16">
        <v>2480.2600000000002</v>
      </c>
      <c r="F51" s="16">
        <v>2854.49</v>
      </c>
    </row>
    <row r="52" spans="1:6" x14ac:dyDescent="0.3">
      <c r="A52" s="16" t="s">
        <v>309</v>
      </c>
      <c r="B52" s="16" t="s">
        <v>310</v>
      </c>
      <c r="C52" s="16">
        <v>192</v>
      </c>
      <c r="D52" s="16">
        <v>27</v>
      </c>
      <c r="E52" s="16">
        <v>337.29</v>
      </c>
      <c r="F52" s="16">
        <v>468.13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Table_VS_Range </vt:lpstr>
      <vt:lpstr>Sales_Data</vt:lpstr>
      <vt:lpstr>Employee_Records</vt:lpstr>
      <vt:lpstr>Dept_Heads</vt:lpstr>
      <vt:lpstr>Product_Inventory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Sohila Khaled</cp:lastModifiedBy>
  <dcterms:created xsi:type="dcterms:W3CDTF">2025-08-26T11:22:38Z</dcterms:created>
  <dcterms:modified xsi:type="dcterms:W3CDTF">2026-09-29T21:39:47Z</dcterms:modified>
</cp:coreProperties>
</file>